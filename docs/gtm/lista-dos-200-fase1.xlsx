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" sheetId="1" state="visible" r:id="rId1"/>
    <sheet name="Metodo" sheetId="2" state="visible" r:id="rId2"/>
    <sheet name="Lista 200" sheetId="3" state="visible" r:id="rId3"/>
    <sheet name="Objecoes" sheetId="4" state="visible" r:id="rId4"/>
  </sheets>
  <definedNames>
    <definedName name="_xlnm._FilterDatabase" localSheetId="2" hidden="1">'Lista 200'!$A$1:$T$201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21">
    <font>
      <name val="Calibri"/>
      <family val="2"/>
      <color theme="1"/>
      <sz val="11"/>
      <scheme val="minor"/>
    </font>
    <font>
      <name val="Arial"/>
      <b val="1"/>
      <color rgb="000A0E1A"/>
      <sz val="14"/>
    </font>
    <font>
      <name val="Arial"/>
      <i val="1"/>
      <color rgb="005C6786"/>
      <sz val="10"/>
    </font>
    <font>
      <name val="Arial"/>
      <b val="1"/>
      <color rgb="000A0E1A"/>
      <sz val="10"/>
    </font>
    <font>
      <name val="Arial"/>
      <color rgb="003A4358"/>
      <sz val="10"/>
    </font>
    <font>
      <name val="Arial"/>
      <b val="1"/>
      <color rgb="000A0E1A"/>
      <sz val="11"/>
    </font>
    <font>
      <name val="Arial"/>
      <i val="1"/>
      <color rgb="005C6786"/>
      <sz val="9"/>
    </font>
    <font>
      <name val="Arial"/>
      <b val="1"/>
      <color rgb="0000A9C0"/>
      <sz val="10"/>
    </font>
    <font>
      <name val="Arial"/>
      <b val="1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i val="1"/>
      <color rgb="000E9F6E"/>
      <sz val="10"/>
    </font>
    <font>
      <name val="Arial"/>
      <b val="1"/>
      <color rgb="000A0E1A"/>
      <sz val="16"/>
    </font>
    <font>
      <name val="Arial"/>
      <b val="1"/>
      <color rgb="005C6786"/>
      <sz val="9"/>
    </font>
    <font>
      <name val="Arial"/>
      <b val="1"/>
      <color rgb="000A0E1A"/>
      <sz val="18"/>
    </font>
    <font>
      <name val="Arial"/>
      <b val="1"/>
      <color rgb="0000A9C0"/>
      <sz val="18"/>
    </font>
    <font>
      <name val="Arial"/>
      <b val="1"/>
      <color rgb="000E9F6E"/>
      <sz val="18"/>
    </font>
    <font>
      <name val="Arial"/>
      <b val="1"/>
      <color rgb="00C0392B"/>
      <sz val="18"/>
    </font>
    <font>
      <name val="Arial"/>
      <b val="1"/>
      <color rgb="000A0E1A"/>
      <sz val="12"/>
    </font>
    <font>
      <name val="Arial"/>
      <b val="1"/>
      <sz val="10"/>
    </font>
    <font>
      <name val="Arial"/>
      <b val="1"/>
      <color rgb="00C0392B"/>
      <sz val="10"/>
    </font>
  </fonts>
  <fills count="6">
    <fill>
      <patternFill/>
    </fill>
    <fill>
      <patternFill patternType="gray125"/>
    </fill>
    <fill>
      <patternFill patternType="solid">
        <fgColor rgb="00FFF9DB"/>
      </patternFill>
    </fill>
    <fill>
      <patternFill patternType="solid">
        <fgColor rgb="000A0E1A"/>
      </patternFill>
    </fill>
    <fill>
      <patternFill patternType="solid">
        <fgColor rgb="00E8F6F9"/>
      </patternFill>
    </fill>
    <fill>
      <patternFill patternType="solid">
        <fgColor rgb="00EEF3F8"/>
      </patternFill>
    </fill>
  </fills>
  <borders count="5">
    <border>
      <left/>
      <right/>
      <top/>
      <bottom/>
      <diagonal/>
    </border>
    <border>
      <left style="thin">
        <color rgb="00C8D2E0"/>
      </left>
      <right style="thin">
        <color rgb="00C8D2E0"/>
      </right>
      <top style="thin">
        <color rgb="00C8D2E0"/>
      </top>
      <bottom style="thin">
        <color rgb="00C8D2E0"/>
      </bottom>
    </border>
    <border>
      <left/>
      <right/>
      <top style="thin">
        <color rgb="00C8D2E0"/>
      </top>
      <bottom/>
      <diagonal/>
    </border>
    <border>
      <left/>
      <right style="thin">
        <color rgb="00C8D2E0"/>
      </right>
      <top style="thin">
        <color rgb="00C8D2E0"/>
      </top>
      <bottom/>
      <diagonal/>
    </border>
    <border>
      <left/>
      <right style="thin">
        <color rgb="00C8D2E0"/>
      </right>
      <top style="thin">
        <color rgb="00C8D2E0"/>
      </top>
      <bottom style="thin">
        <color rgb="00C8D2E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2" fillId="0" borderId="0" pivotButton="0" quotePrefix="0" xfId="0"/>
    <xf numFmtId="0" fontId="2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0" fillId="0" borderId="1" pivotButton="0" quotePrefix="0" xfId="0"/>
    <xf numFmtId="0" fontId="19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  <xf numFmtId="164" fontId="19" fillId="0" borderId="1" applyAlignment="1" pivotButton="0" quotePrefix="0" xfId="0">
      <alignment horizontal="center"/>
    </xf>
    <xf numFmtId="0" fontId="20" fillId="0" borderId="1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8" fillId="2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11" fillId="5" borderId="1" pivotButton="0" quotePrefix="0" xfId="0"/>
    <xf numFmtId="0" fontId="10" fillId="5" borderId="1" pivotButton="0" quotePrefix="0" xfId="0"/>
    <xf numFmtId="0" fontId="10" fillId="5" borderId="1" applyAlignment="1" pivotButton="0" quotePrefix="0" xfId="0">
      <alignment horizontal="center"/>
    </xf>
    <xf numFmtId="165" fontId="10" fillId="5" borderId="1" applyAlignment="1" pivotButton="0" quotePrefix="0" xfId="0">
      <alignment horizontal="center"/>
    </xf>
    <xf numFmtId="0" fontId="6" fillId="5" borderId="1" pivotButton="0" quotePrefix="0" xfId="0"/>
    <xf numFmtId="0" fontId="10" fillId="0" borderId="1" applyAlignment="1" pivotButton="0" quotePrefix="0" xfId="0">
      <alignment horizontal="center"/>
    </xf>
    <xf numFmtId="165" fontId="10" fillId="0" borderId="1" applyAlignment="1" pivotButton="0" quotePrefix="0" xfId="0">
      <alignment horizontal="center"/>
    </xf>
    <xf numFmtId="165" fontId="10" fillId="5" borderId="1" pivotButton="0" quotePrefix="0" xfId="0"/>
    <xf numFmtId="165" fontId="10" fillId="0" borderId="1" pivotButton="0" quotePrefix="0" xfId="0"/>
    <xf numFmtId="164" fontId="10" fillId="0" borderId="1" applyAlignment="1" pivotButton="0" quotePrefix="0" xfId="0">
      <alignment horizontal="center"/>
    </xf>
    <xf numFmtId="164" fontId="19" fillId="0" borderId="1" applyAlignment="1" pivotButton="0" quotePrefix="0" xfId="0">
      <alignment horizontal="center"/>
    </xf>
    <xf numFmtId="165" fontId="10" fillId="5" borderId="1" applyAlignment="1" pivotButton="0" quotePrefix="0" xfId="0">
      <alignment horizontal="center"/>
    </xf>
    <xf numFmtId="165" fontId="10" fillId="0" borderId="1" applyAlignment="1" pivotButton="0" quotePrefix="0" xfId="0">
      <alignment horizontal="center"/>
    </xf>
    <xf numFmtId="165" fontId="10" fillId="5" borderId="1" pivotButton="0" quotePrefix="0" xfId="0"/>
    <xf numFmtId="165" fontId="10" fillId="0" borderId="1" pivotButton="0" quotePrefix="0" xfId="0"/>
  </cellXfs>
  <cellStyles count="1">
    <cellStyle name="Normal" xfId="0" builtinId="0" hidden="0"/>
  </cellStyles>
  <dxfs count="3">
    <dxf>
      <font>
        <name val="Arial"/>
        <b val="1"/>
        <color rgb="00FFFFFF"/>
        <sz val="10"/>
      </font>
      <fill>
        <patternFill patternType="solid">
          <fgColor rgb="0000A9C0"/>
        </patternFill>
      </fill>
    </dxf>
    <dxf>
      <font>
        <name val="Arial"/>
        <b val="1"/>
        <color rgb="000E9F6E"/>
        <sz val="10"/>
      </font>
    </dxf>
    <dxf>
      <font>
        <name val="Arial"/>
        <color rgb="00C0392B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9" customWidth="1" min="3" max="3"/>
    <col width="12" customWidth="1" min="4" max="4"/>
    <col width="3" customWidth="1" min="5" max="5"/>
    <col width="28" customWidth="1" min="6" max="6"/>
    <col width="10" customWidth="1" min="7" max="7"/>
    <col width="12" customWidth="1" min="8" max="8"/>
    <col width="3" customWidth="1" min="9" max="9"/>
    <col width="16" customWidth="1" min="10" max="10"/>
  </cols>
  <sheetData>
    <row r="2">
      <c r="B2" s="1" t="inlineStr">
        <is>
          <t>Painel do funil - Fase 1</t>
        </is>
      </c>
    </row>
    <row r="3">
      <c r="B3" s="2" t="inlineStr">
        <is>
          <t>Tudo aqui se calcula a partir da aba Lista 200. Nao digite nada nesta aba.</t>
        </is>
      </c>
    </row>
    <row r="5">
      <c r="B5" s="3" t="inlineStr">
        <is>
          <t>BOXES NA LISTA</t>
        </is>
      </c>
      <c r="D5" s="3" t="inlineStr">
        <is>
          <t>PRIORIDADE A</t>
        </is>
      </c>
      <c r="F5" s="3" t="inlineStr">
        <is>
          <t>JA ABORDADOS</t>
        </is>
      </c>
      <c r="H5" s="3" t="inlineStr">
        <is>
          <t>GANHOS</t>
        </is>
      </c>
      <c r="J5" s="3" t="inlineStr">
        <is>
          <t>VAGAS RESTANTES</t>
        </is>
      </c>
    </row>
    <row r="6">
      <c r="B6" s="4">
        <f>COUNTA('Lista 200'!$B$2:$B$201)</f>
        <v/>
      </c>
      <c r="D6" s="5">
        <f>COUNTIF('Lista 200'!$M$2:$M$201,"A")</f>
        <v/>
      </c>
      <c r="F6" s="4">
        <f>SUM(C12:C18)</f>
        <v/>
      </c>
      <c r="H6" s="6">
        <f>COUNTIF('Lista 200'!$N$2:$N$201,"Ganho")</f>
        <v/>
      </c>
      <c r="J6" s="7">
        <f>20-COUNTIF('Lista 200'!$N$2:$N$201,"Ganho")</f>
        <v/>
      </c>
    </row>
    <row r="9">
      <c r="B9" s="8" t="inlineStr">
        <is>
          <t>Funil</t>
        </is>
      </c>
      <c r="F9" s="8" t="inlineStr">
        <is>
          <t>Taxas que importam</t>
        </is>
      </c>
    </row>
    <row r="10">
      <c r="B10" s="9" t="inlineStr">
        <is>
          <t>Etapa</t>
        </is>
      </c>
      <c r="C10" s="9" t="inlineStr">
        <is>
          <t>Qtd</t>
        </is>
      </c>
      <c r="D10" s="9" t="inlineStr">
        <is>
          <t>% da lista</t>
        </is>
      </c>
      <c r="F10" s="9" t="inlineStr">
        <is>
          <t>Etapa</t>
        </is>
      </c>
      <c r="G10" s="10" t="n"/>
      <c r="H10" s="9" t="inlineStr">
        <is>
          <t>Taxa</t>
        </is>
      </c>
    </row>
    <row r="11">
      <c r="B11" s="11" t="inlineStr">
        <is>
          <t>Nao contatado</t>
        </is>
      </c>
      <c r="C11" s="12">
        <f>COUNTIF('Lista 200'!$N$2:$N$201,"Nao contatado")</f>
        <v/>
      </c>
      <c r="D11" s="35">
        <f>IFERROR(C11/$B$6,0)</f>
        <v/>
      </c>
      <c r="F11" s="11" t="inlineStr">
        <is>
          <t>Abordagem -&gt; conversa</t>
        </is>
      </c>
      <c r="G11" s="10" t="n"/>
      <c r="H11" s="36">
        <f>IFERROR((C13+C14+C15+C16+C17)/(C12+C13+C14+C15+C16+C17),0)</f>
        <v/>
      </c>
    </row>
    <row r="12">
      <c r="B12" s="11" t="inlineStr">
        <is>
          <t>Abordado</t>
        </is>
      </c>
      <c r="C12" s="12">
        <f>COUNTIF('Lista 200'!$N$2:$N$201,"Abordado")</f>
        <v/>
      </c>
      <c r="D12" s="35">
        <f>IFERROR(C12/$B$6,0)</f>
        <v/>
      </c>
      <c r="F12" s="11" t="inlineStr">
        <is>
          <t>Conversa -&gt; demo feita</t>
        </is>
      </c>
      <c r="G12" s="10" t="n"/>
      <c r="H12" s="36">
        <f>IFERROR((C15+C16+C17)/(C13+C14+C15+C16+C17),0)</f>
        <v/>
      </c>
    </row>
    <row r="13">
      <c r="B13" s="11" t="inlineStr">
        <is>
          <t>Conversando</t>
        </is>
      </c>
      <c r="C13" s="12">
        <f>COUNTIF('Lista 200'!$N$2:$N$201,"Conversando")</f>
        <v/>
      </c>
      <c r="D13" s="35">
        <f>IFERROR(C13/$B$6,0)</f>
        <v/>
      </c>
      <c r="F13" s="11" t="inlineStr">
        <is>
          <t>Demo feita -&gt; ganho</t>
        </is>
      </c>
      <c r="G13" s="10" t="n"/>
      <c r="H13" s="36">
        <f>IFERROR(C17/(C15+C16+C17),0)</f>
        <v/>
      </c>
    </row>
    <row r="14">
      <c r="B14" s="11" t="inlineStr">
        <is>
          <t>Demo agendada</t>
        </is>
      </c>
      <c r="C14" s="12">
        <f>COUNTIF('Lista 200'!$N$2:$N$201,"Demo agendada")</f>
        <v/>
      </c>
      <c r="D14" s="35">
        <f>IFERROR(C14/$B$6,0)</f>
        <v/>
      </c>
      <c r="F14" s="11" t="inlineStr">
        <is>
          <t>Ganho sobre lista trabalhada</t>
        </is>
      </c>
      <c r="G14" s="10" t="n"/>
      <c r="H14" s="36">
        <f>IFERROR(C17/SUM(C12:C18),0)</f>
        <v/>
      </c>
    </row>
    <row r="15">
      <c r="B15" s="11" t="inlineStr">
        <is>
          <t>Demo feita</t>
        </is>
      </c>
      <c r="C15" s="12">
        <f>COUNTIF('Lista 200'!$N$2:$N$201,"Demo feita")</f>
        <v/>
      </c>
      <c r="D15" s="35">
        <f>IFERROR(C15/$B$6,0)</f>
        <v/>
      </c>
    </row>
    <row r="16">
      <c r="B16" s="11" t="inlineStr">
        <is>
          <t>Proposta enviada</t>
        </is>
      </c>
      <c r="C16" s="12">
        <f>COUNTIF('Lista 200'!$N$2:$N$201,"Proposta enviada")</f>
        <v/>
      </c>
      <c r="D16" s="35">
        <f>IFERROR(C16/$B$6,0)</f>
        <v/>
      </c>
    </row>
    <row r="17">
      <c r="B17" s="11" t="inlineStr">
        <is>
          <t>Ganho</t>
        </is>
      </c>
      <c r="C17" s="12">
        <f>COUNTIF('Lista 200'!$N$2:$N$201,"Ganho")</f>
        <v/>
      </c>
      <c r="D17" s="35">
        <f>IFERROR(C17/$B$6,0)</f>
        <v/>
      </c>
      <c r="F17" s="8" t="inlineStr">
        <is>
          <t>Ritmo</t>
        </is>
      </c>
    </row>
    <row r="18">
      <c r="B18" s="11" t="inlineStr">
        <is>
          <t>Perdido</t>
        </is>
      </c>
      <c r="C18" s="12">
        <f>COUNTIF('Lista 200'!$N$2:$N$201,"Perdido")</f>
        <v/>
      </c>
      <c r="D18" s="35">
        <f>IFERROR(C18/$B$6,0)</f>
        <v/>
      </c>
      <c r="F18" s="11" t="inlineStr">
        <is>
          <t>Acoes vencidas (data passou e nao fechou)</t>
        </is>
      </c>
      <c r="G18" s="10" t="n"/>
      <c r="H18" s="15">
        <f>SUMPRODUCT(('Lista 200'!$R$2:$R$201&lt;&gt;"")*('Lista 200'!$R$2:$R$201&lt;TODAY())*('Lista 200'!$N$2:$N$201&lt;&gt;"Ganho")*('Lista 200'!$N$2:$N$201&lt;&gt;"Perdido")*('Lista 200'!$N$2:$N$201&lt;&gt;"Descartado"))</f>
        <v/>
      </c>
    </row>
    <row r="19">
      <c r="B19" s="11" t="inlineStr">
        <is>
          <t>Descartado</t>
        </is>
      </c>
      <c r="C19" s="12">
        <f>COUNTIF('Lista 200'!$N$2:$N$201,"Descartado")</f>
        <v/>
      </c>
      <c r="D19" s="35">
        <f>IFERROR(C19/$B$6,0)</f>
        <v/>
      </c>
      <c r="F19" s="11" t="inlineStr">
        <is>
          <t>Total de toques registrados</t>
        </is>
      </c>
      <c r="G19" s="10" t="n"/>
      <c r="H19" s="12">
        <f>SUM('Lista 200'!$P$2:$P$201)</f>
        <v/>
      </c>
    </row>
    <row r="22">
      <c r="B22" s="16" t="inlineStr">
        <is>
          <t>Leitura: se Abordagem -&gt; conversa ficar abaixo de ~20%, o problema esta na mensagem de abertura. Se Demo feita -&gt; ganho ficar abaixo de ~30%, o problema esta na oferta ou na qualificacao - nao no volume de abordagens.</t>
        </is>
      </c>
    </row>
    <row r="23"/>
  </sheetData>
  <mergeCells count="8">
    <mergeCell ref="F11:G11"/>
    <mergeCell ref="F12:G12"/>
    <mergeCell ref="F10:G10"/>
    <mergeCell ref="F19:G19"/>
    <mergeCell ref="F18:G18"/>
    <mergeCell ref="F14:G14"/>
    <mergeCell ref="F13:G13"/>
    <mergeCell ref="B22:J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0" customWidth="1" min="3" max="3"/>
    <col width="18" customWidth="1" min="4" max="4"/>
    <col width="18" customWidth="1" min="5" max="5"/>
    <col width="18" customWidth="1" min="6" max="6"/>
  </cols>
  <sheetData>
    <row r="2">
      <c r="B2" s="17" t="inlineStr">
        <is>
          <t>Metodo - como preencher e usar a Lista dos 200</t>
        </is>
      </c>
    </row>
    <row r="3">
      <c r="B3" s="2" t="inlineStr">
        <is>
          <t>Fase 1 do plano de escala | meta: 20 boxes fundadores | ritmo alvo: 10 abordagens por dia</t>
        </is>
      </c>
    </row>
    <row r="5">
      <c r="B5" s="18" t="inlineStr">
        <is>
          <t>1. De onde tirar os 200 nomes</t>
        </is>
      </c>
    </row>
    <row r="6" ht="30" customHeight="1">
      <c r="B6" s="19" t="inlineStr">
        <is>
          <t>Google Maps: buscar crossfit, cross training, box e treino funcional bairro por bairro. Instagram: as mesmas palavras + cidade, e os seguidores dos boxes que voce ja conhece.</t>
        </is>
      </c>
    </row>
    <row r="8">
      <c r="B8" s="18" t="inlineStr">
        <is>
          <t>2. O que preencher primeiro</t>
        </is>
      </c>
    </row>
    <row r="9" ht="30" customHeight="1">
      <c r="B9" s="19" t="inlineStr">
        <is>
          <t>So as colunas amarelas. Score e Prioridade se calculam sozinhos. Nao pare para pesquisar tudo de um box: preencha o que da em 2 minutos e siga - a lista vale pelo volume, nao pela perfeicao de cada linha.</t>
        </is>
      </c>
    </row>
    <row r="11">
      <c r="B11" s="18" t="inlineStr">
        <is>
          <t>3. Como ler os sinais de dor</t>
        </is>
      </c>
    </row>
    <row r="12" ht="30" customHeight="1">
      <c r="B12" s="19" t="inlineStr">
        <is>
          <t>WOD em foto de quadro branco no feed = nao tem sistema de treino. Sem app do aluno = a rotina do aluno vive no WhatsApp. Chama no direct pra saber valores = comercial e cobranca na mao do dono.</t>
        </is>
      </c>
    </row>
    <row r="14">
      <c r="B14" s="18" t="inlineStr">
        <is>
          <t>4. Por onde comecar a abordar</t>
        </is>
      </c>
    </row>
    <row r="15" ht="30" customHeight="1">
      <c r="B15" s="19" t="inlineStr">
        <is>
          <t>So prioridade A. Nao gaste os primeiros dias com B e C: voce ainda esta aprendendo o script, e esse aprendizado fica caro se for gasto no lead errado.</t>
        </is>
      </c>
    </row>
    <row r="17">
      <c r="B17" s="18" t="inlineStr">
        <is>
          <t>5. O que fazer todo dia</t>
        </is>
      </c>
    </row>
    <row r="18" ht="30" customHeight="1">
      <c r="B18" s="19" t="inlineStr">
        <is>
          <t>10 abordagens novas, responder quem respondeu e mover o status de quem avancou. O Painel conta sozinho.</t>
        </is>
      </c>
    </row>
    <row r="20">
      <c r="B20" s="18" t="inlineStr">
        <is>
          <t>6. Regra de descarte</t>
        </is>
      </c>
    </row>
    <row r="21" ht="30" customHeight="1">
      <c r="B21" s="19" t="inlineStr">
        <is>
          <t>Rede com mais de 3 unidades, quem so quer app de treino e quem nao sente dor financeira: marque Descartado sem culpa. Cliente errado na Fase 1 custa roadmap e churn.</t>
        </is>
      </c>
    </row>
    <row r="24">
      <c r="B24" s="20" t="inlineStr">
        <is>
          <t>Pesos do score - edite para calibrar</t>
        </is>
      </c>
    </row>
    <row r="25">
      <c r="B25" s="21" t="inlineStr">
        <is>
          <t>As celulas amarelas alimentam a coluna Score da aba Lista 200. Score maximo = 100.</t>
        </is>
      </c>
    </row>
    <row r="27">
      <c r="B27" s="22" t="inlineStr">
        <is>
          <t>Tamanho do box (alunos)</t>
        </is>
      </c>
    </row>
    <row r="28">
      <c r="B28" s="23" t="inlineStr">
        <is>
          <t>Entre 80 e 250 alunos (alvo)</t>
        </is>
      </c>
      <c r="C28" s="24" t="n">
        <v>30</v>
      </c>
    </row>
    <row r="29">
      <c r="B29" s="23" t="inlineStr">
        <is>
          <t>Entre 40 e 79, ou entre 251 e 400</t>
        </is>
      </c>
      <c r="C29" s="24" t="n">
        <v>15</v>
      </c>
    </row>
    <row r="30">
      <c r="B30" s="23" t="inlineStr">
        <is>
          <t>Fora da faixa ou em branco</t>
        </is>
      </c>
      <c r="C30" s="24" t="n">
        <v>5</v>
      </c>
    </row>
    <row r="31">
      <c r="B31" s="22" t="inlineStr">
        <is>
          <t>Sistema que usa hoje</t>
        </is>
      </c>
    </row>
    <row r="32">
      <c r="B32" s="23" t="inlineStr">
        <is>
          <t>Planilha ou caderno</t>
        </is>
      </c>
      <c r="C32" s="24" t="n">
        <v>25</v>
      </c>
    </row>
    <row r="33">
      <c r="B33" s="23" t="inlineStr">
        <is>
          <t>Nenhum sistema</t>
        </is>
      </c>
      <c r="C33" s="24" t="n">
        <v>25</v>
      </c>
    </row>
    <row r="34">
      <c r="B34" s="23" t="inlineStr">
        <is>
          <t>Desconhecido</t>
        </is>
      </c>
      <c r="C34" s="24" t="n">
        <v>10</v>
      </c>
    </row>
    <row r="35">
      <c r="B35" s="23" t="inlineStr">
        <is>
          <t>Concorrente</t>
        </is>
      </c>
      <c r="C35" s="24" t="n">
        <v>5</v>
      </c>
    </row>
    <row r="36">
      <c r="B36" s="22" t="inlineStr">
        <is>
          <t>Sinais de dor</t>
        </is>
      </c>
    </row>
    <row r="37">
      <c r="B37" s="23" t="inlineStr">
        <is>
          <t>Peso por sinal marcado (ate 3)</t>
        </is>
      </c>
      <c r="C37" s="24" t="n">
        <v>10</v>
      </c>
    </row>
    <row r="38">
      <c r="B38" s="22" t="inlineStr">
        <is>
          <t>Regiao</t>
        </is>
      </c>
    </row>
    <row r="39">
      <c r="B39" s="23" t="inlineStr">
        <is>
          <t>Grande SP</t>
        </is>
      </c>
      <c r="C39" s="24" t="n">
        <v>15</v>
      </c>
    </row>
    <row r="40">
      <c r="B40" s="23" t="inlineStr">
        <is>
          <t>SP interior</t>
        </is>
      </c>
      <c r="C40" s="24" t="n">
        <v>8</v>
      </c>
    </row>
    <row r="41">
      <c r="B41" s="23" t="inlineStr">
        <is>
          <t>Outro estado</t>
        </is>
      </c>
      <c r="C41" s="24" t="n">
        <v>3</v>
      </c>
    </row>
    <row r="42">
      <c r="B42" s="22" t="inlineStr">
        <is>
          <t>Corte de prioridade</t>
        </is>
      </c>
    </row>
    <row r="43">
      <c r="B43" s="23" t="inlineStr">
        <is>
          <t>Score minimo para prioridade A</t>
        </is>
      </c>
      <c r="C43" s="24" t="n">
        <v>70</v>
      </c>
    </row>
    <row r="44">
      <c r="B44" s="23" t="inlineStr">
        <is>
          <t>Score minimo para prioridade B</t>
        </is>
      </c>
      <c r="C44" s="24" t="n">
        <v>50</v>
      </c>
    </row>
    <row r="46">
      <c r="B46" s="21" t="inlineStr">
        <is>
          <t>Amarelo = voce edita. Azul claro na Lista 200 = calculado, nao digite por cima.</t>
        </is>
      </c>
    </row>
  </sheetData>
  <mergeCells count="6">
    <mergeCell ref="B21:F21"/>
    <mergeCell ref="B12:F12"/>
    <mergeCell ref="B6:F6"/>
    <mergeCell ref="B15:F15"/>
    <mergeCell ref="B18:F18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20" customWidth="1" min="4" max="4"/>
    <col width="16" customWidth="1" min="5" max="5"/>
    <col width="12" customWidth="1" min="6" max="6"/>
    <col width="20" customWidth="1" min="7" max="7"/>
    <col width="14" customWidth="1" min="8" max="8"/>
    <col width="14" customWidth="1" min="9" max="9"/>
    <col width="15" customWidth="1" min="10" max="10"/>
    <col width="14" customWidth="1" min="11" max="11"/>
    <col width="8" customWidth="1" min="12" max="12"/>
    <col width="7" customWidth="1" min="13" max="13"/>
    <col width="17" customWidth="1" min="14" max="14"/>
    <col width="13" customWidth="1" min="15" max="15"/>
    <col width="8" customWidth="1" min="16" max="16"/>
    <col width="26" customWidth="1" min="17" max="17"/>
    <col width="12" customWidth="1" min="18" max="18"/>
    <col width="22" customWidth="1" min="19" max="19"/>
    <col width="34" customWidth="1" min="20" max="20"/>
  </cols>
  <sheetData>
    <row r="1" ht="30" customHeight="1">
      <c r="A1" s="9" t="inlineStr">
        <is>
          <t>#</t>
        </is>
      </c>
      <c r="B1" s="9" t="inlineStr">
        <is>
          <t>Box</t>
        </is>
      </c>
      <c r="C1" s="9" t="inlineStr">
        <is>
          <t>Cidade / bairro</t>
        </is>
      </c>
      <c r="D1" s="9" t="inlineStr">
        <is>
          <t>Instagram</t>
        </is>
      </c>
      <c r="E1" s="9" t="inlineStr">
        <is>
          <t>WhatsApp</t>
        </is>
      </c>
      <c r="F1" s="9" t="inlineStr">
        <is>
          <t>Alunos (est.)</t>
        </is>
      </c>
      <c r="G1" s="9" t="inlineStr">
        <is>
          <t>Sistema hoje</t>
        </is>
      </c>
      <c r="H1" s="9" t="inlineStr">
        <is>
          <t>WOD no quadro</t>
        </is>
      </c>
      <c r="I1" s="9" t="inlineStr">
        <is>
          <t>Sem app aluno</t>
        </is>
      </c>
      <c r="J1" s="9" t="inlineStr">
        <is>
          <t>Cobranca manual</t>
        </is>
      </c>
      <c r="K1" s="9" t="inlineStr">
        <is>
          <t>Regiao</t>
        </is>
      </c>
      <c r="L1" s="9" t="inlineStr">
        <is>
          <t>Score</t>
        </is>
      </c>
      <c r="M1" s="9" t="inlineStr">
        <is>
          <t>Prior.</t>
        </is>
      </c>
      <c r="N1" s="9" t="inlineStr">
        <is>
          <t>Status</t>
        </is>
      </c>
      <c r="O1" s="9" t="inlineStr">
        <is>
          <t>Ultimo toque</t>
        </is>
      </c>
      <c r="P1" s="9" t="inlineStr">
        <is>
          <t>Toques</t>
        </is>
      </c>
      <c r="Q1" s="9" t="inlineStr">
        <is>
          <t>Proxima acao</t>
        </is>
      </c>
      <c r="R1" s="9" t="inlineStr">
        <is>
          <t>Quando</t>
        </is>
      </c>
      <c r="S1" s="9" t="inlineStr">
        <is>
          <t>Objecao principal</t>
        </is>
      </c>
      <c r="T1" s="9" t="inlineStr">
        <is>
          <t>Notas</t>
        </is>
      </c>
    </row>
    <row r="2">
      <c r="A2" s="25">
        <f>IF($B2="","",ROW()-1)</f>
        <v/>
      </c>
      <c r="B2" s="26" t="inlineStr">
        <is>
          <t>Endorfina Cross</t>
        </is>
      </c>
      <c r="C2" s="27" t="inlineStr">
        <is>
          <t>Guarulhos - SP</t>
        </is>
      </c>
      <c r="D2" s="27" t="inlineStr">
        <is>
          <t>@endorfinacross</t>
        </is>
      </c>
      <c r="E2" s="27" t="inlineStr">
        <is>
          <t>(11) 9xxxx-xxxx</t>
        </is>
      </c>
      <c r="F2" s="28" t="n">
        <v>180</v>
      </c>
      <c r="G2" s="27" t="inlineStr">
        <is>
          <t>Planilha ou caderno</t>
        </is>
      </c>
      <c r="H2" s="27" t="inlineStr">
        <is>
          <t>Sim</t>
        </is>
      </c>
      <c r="I2" s="27" t="inlineStr">
        <is>
          <t>Sim</t>
        </is>
      </c>
      <c r="J2" s="27" t="inlineStr">
        <is>
          <t>Sim</t>
        </is>
      </c>
      <c r="K2" s="27" t="inlineStr">
        <is>
          <t>Grande SP</t>
        </is>
      </c>
      <c r="L2" s="25">
        <f>IF($B2="","",IF($F2="",Metodo!$C$30,IF(AND($F2&gt;=80,$F2&lt;=250),Metodo!$C$28,IF(OR(AND($F2&gt;=40,$F2&lt;=79),AND($F2&gt;=251,$F2&lt;=400)),Metodo!$C$29,Metodo!$C$30)))+IFERROR(INDEX(Metodo!$C$32:$C$35,MATCH($G2,Metodo!$B$32:$B$35,0)),0)+COUNTIF($H2:$J2,"Sim")*Metodo!$C$37+IFERROR(INDEX(Metodo!$C$39:$C$41,MATCH($K2,Metodo!$B$39:$B$41,0)),0))</f>
        <v/>
      </c>
      <c r="M2" s="25">
        <f>IF($L2="","",IF($L2&gt;=Metodo!$C$43,"A",IF($L2&gt;=Metodo!$C$44,"B","C")))</f>
        <v/>
      </c>
      <c r="N2" s="27" t="inlineStr">
        <is>
          <t>Ganho</t>
        </is>
      </c>
      <c r="O2" s="37" t="n"/>
      <c r="P2" s="28" t="n">
        <v>6</v>
      </c>
      <c r="Q2" s="27" t="inlineStr">
        <is>
          <t>Acompanhar uso semanal</t>
        </is>
      </c>
      <c r="R2" s="37" t="n"/>
      <c r="S2" s="27" t="inlineStr">
        <is>
          <t>-</t>
        </is>
      </c>
      <c r="T2" s="30" t="inlineStr">
        <is>
          <t>Linha real e ja ganha: primeiro box em producao desde 23/05. Serve de modelo de preenchimento - comece a sua lista na linha 3.</t>
        </is>
      </c>
    </row>
    <row r="3">
      <c r="A3" s="25">
        <f>IF($B3="","",ROW()-1)</f>
        <v/>
      </c>
      <c r="B3" s="11" t="inlineStr">
        <is>
          <t>Arujá Crossfit Guarulhos</t>
        </is>
      </c>
      <c r="C3" s="11" t="inlineStr">
        <is>
          <t>Guarulhos - Centro</t>
        </is>
      </c>
      <c r="D3" s="11" t="n"/>
      <c r="E3" s="11" t="inlineStr">
        <is>
          <t>+55 11 96646-4324</t>
        </is>
      </c>
      <c r="F3" s="31" t="n"/>
      <c r="G3" s="11" t="n"/>
      <c r="H3" s="11" t="n"/>
      <c r="I3" s="11" t="n"/>
      <c r="J3" s="11" t="n"/>
      <c r="K3" s="11" t="inlineStr">
        <is>
          <t>Grande SP</t>
        </is>
      </c>
      <c r="L3" s="25">
        <f>IF($B3="","",IF($F3="",Metodo!$C$30,IF(AND($F3&gt;=80,$F3&lt;=250),Metodo!$C$28,IF(OR(AND($F3&gt;=40,$F3&lt;=79),AND($F3&gt;=251,$F3&lt;=400)),Metodo!$C$29,Metodo!$C$30)))+IFERROR(INDEX(Metodo!$C$32:$C$35,MATCH($G3,Metodo!$B$32:$B$35,0)),0)+COUNTIF($H3:$J3,"Sim")*Metodo!$C$37+IFERROR(INDEX(Metodo!$C$39:$C$41,MATCH($K3,Metodo!$B$39:$B$41,0)),0))</f>
        <v/>
      </c>
      <c r="M3" s="25">
        <f>IF($L3="","",IF($L3&gt;=Metodo!$C$43,"A",IF($L3&gt;=Metodo!$C$44,"B","C")))</f>
        <v/>
      </c>
      <c r="N3" s="11" t="inlineStr">
        <is>
          <t>Nao contatado</t>
        </is>
      </c>
      <c r="O3" s="38" t="n"/>
      <c r="P3" s="31" t="n"/>
      <c r="Q3" s="11" t="inlineStr">
        <is>
          <t>Primeiro contato</t>
        </is>
      </c>
      <c r="R3" s="38" t="n"/>
      <c r="S3" s="11" t="n"/>
      <c r="T3" s="11" t="inlineStr">
        <is>
          <t>Tier 1 (varredura TomTom 2026-08-29, PR #185). Qualificacao: sem site. Sem Instagram proprio localizavel via busca - so aparece em agregador (FitFit.Fitness, nota 9,2/10 e 4,4/5). Endereco: Av. Paulo Faccini 691. Abertura generica (sem sinal especifico).</t>
        </is>
      </c>
    </row>
    <row r="4">
      <c r="A4" s="25">
        <f>IF($B4="","",ROW()-1)</f>
        <v/>
      </c>
      <c r="B4" s="27" t="inlineStr">
        <is>
          <t>CrossFit Forvy</t>
        </is>
      </c>
      <c r="C4" s="27" t="inlineStr">
        <is>
          <t>Guarulhos - Centro</t>
        </is>
      </c>
      <c r="D4" s="27" t="inlineStr">
        <is>
          <t>@crossfitforvy</t>
        </is>
      </c>
      <c r="E4" s="27" t="inlineStr">
        <is>
          <t>+55 11 93394-9736</t>
        </is>
      </c>
      <c r="F4" s="28" t="n"/>
      <c r="G4" s="27" t="n"/>
      <c r="H4" s="27" t="n"/>
      <c r="I4" s="27" t="n"/>
      <c r="J4" s="27" t="n"/>
      <c r="K4" s="27" t="inlineStr">
        <is>
          <t>Grande SP</t>
        </is>
      </c>
      <c r="L4" s="25">
        <f>IF($B4="","",IF($F4="",Metodo!$C$30,IF(AND($F4&gt;=80,$F4&lt;=250),Metodo!$C$28,IF(OR(AND($F4&gt;=40,$F4&lt;=79),AND($F4&gt;=251,$F4&lt;=400)),Metodo!$C$29,Metodo!$C$30)))+IFERROR(INDEX(Metodo!$C$32:$C$35,MATCH($G4,Metodo!$B$32:$B$35,0)),0)+COUNTIF($H4:$J4,"Sim")*Metodo!$C$37+IFERROR(INDEX(Metodo!$C$39:$C$41,MATCH($K4,Metodo!$B$39:$B$41,0)),0))</f>
        <v/>
      </c>
      <c r="M4" s="25">
        <f>IF($L4="","",IF($L4&gt;=Metodo!$C$43,"A",IF($L4&gt;=Metodo!$C$44,"B","C")))</f>
        <v/>
      </c>
      <c r="N4" s="27" t="inlineStr">
        <is>
          <t>Nao contatado</t>
        </is>
      </c>
      <c r="O4" s="37" t="n"/>
      <c r="P4" s="28" t="n"/>
      <c r="Q4" s="27" t="inlineStr">
        <is>
          <t>Primeiro contato</t>
        </is>
      </c>
      <c r="R4" s="37" t="n"/>
      <c r="S4" s="27" t="n"/>
      <c r="T4" s="27" t="inlineStr">
        <is>
          <t>Tier 1 (varredura TomTom 2026-08-29, PR #185). Qualificacao: afiliado oficial. Instagram @crossfitforvy, 3 mil seguidores, 511 posts, ativo. Fez Festivus Games em 2026-04.</t>
        </is>
      </c>
    </row>
    <row r="5">
      <c r="A5" s="25">
        <f>IF($B5="","",ROW()-1)</f>
        <v/>
      </c>
      <c r="B5" s="11" t="inlineStr">
        <is>
          <t>CrossFit MK-1</t>
        </is>
      </c>
      <c r="C5" s="11" t="inlineStr">
        <is>
          <t>Guarulhos - Picanço</t>
        </is>
      </c>
      <c r="D5" s="11" t="inlineStr">
        <is>
          <t>@crossfitmk1</t>
        </is>
      </c>
      <c r="E5" s="11" t="inlineStr">
        <is>
          <t>+55 11 98964-7226</t>
        </is>
      </c>
      <c r="F5" s="31" t="n"/>
      <c r="G5" s="11" t="n"/>
      <c r="H5" s="11" t="n"/>
      <c r="I5" s="11" t="n"/>
      <c r="J5" s="11" t="n"/>
      <c r="K5" s="11" t="inlineStr">
        <is>
          <t>Grande SP</t>
        </is>
      </c>
      <c r="L5" s="25">
        <f>IF($B5="","",IF($F5="",Metodo!$C$30,IF(AND($F5&gt;=80,$F5&lt;=250),Metodo!$C$28,IF(OR(AND($F5&gt;=40,$F5&lt;=79),AND($F5&gt;=251,$F5&lt;=400)),Metodo!$C$29,Metodo!$C$30)))+IFERROR(INDEX(Metodo!$C$32:$C$35,MATCH($G5,Metodo!$B$32:$B$35,0)),0)+COUNTIF($H5:$J5,"Sim")*Metodo!$C$37+IFERROR(INDEX(Metodo!$C$39:$C$41,MATCH($K5,Metodo!$B$39:$B$41,0)),0))</f>
        <v/>
      </c>
      <c r="M5" s="25">
        <f>IF($L5="","",IF($L5&gt;=Metodo!$C$43,"A",IF($L5&gt;=Metodo!$C$44,"B","C")))</f>
        <v/>
      </c>
      <c r="N5" s="11" t="inlineStr">
        <is>
          <t>Nao contatado</t>
        </is>
      </c>
      <c r="O5" s="38" t="n"/>
      <c r="P5" s="31" t="n"/>
      <c r="Q5" s="11" t="inlineStr">
        <is>
          <t>Primeiro contato</t>
        </is>
      </c>
      <c r="R5" s="38" t="n"/>
      <c r="S5" s="11" t="n"/>
      <c r="T5" s="11" t="inlineStr">
        <is>
          <t>Tier 1 (varredura TomTom 2026-08-29, PR #185). Qualificacao: site proprio. Instagram @crossfitmk1, 11,1 mil seguidores, desde 2012, pioneira em Guarulhos, tem CrossFit Kids. Possivel rede de 2 unidades com a MK1 Vila Galvao (linha 6) - confirmar.</t>
        </is>
      </c>
    </row>
    <row r="6">
      <c r="A6" s="25">
        <f>IF($B6="","",ROW()-1)</f>
        <v/>
      </c>
      <c r="B6" s="27" t="inlineStr">
        <is>
          <t>CrossFit MK1 Vila Galvão</t>
        </is>
      </c>
      <c r="C6" s="27" t="inlineStr">
        <is>
          <t>Guarulhos - Vila Galvão</t>
        </is>
      </c>
      <c r="D6" s="27" t="inlineStr">
        <is>
          <t>@crossfitmk1</t>
        </is>
      </c>
      <c r="E6" s="27" t="inlineStr">
        <is>
          <t>+55 11 91223-9182</t>
        </is>
      </c>
      <c r="F6" s="28" t="n"/>
      <c r="G6" s="27" t="n"/>
      <c r="H6" s="27" t="n"/>
      <c r="I6" s="27" t="n"/>
      <c r="J6" s="27" t="n"/>
      <c r="K6" s="27" t="inlineStr">
        <is>
          <t>Grande SP</t>
        </is>
      </c>
      <c r="L6" s="25">
        <f>IF($B6="","",IF($F6="",Metodo!$C$30,IF(AND($F6&gt;=80,$F6&lt;=250),Metodo!$C$28,IF(OR(AND($F6&gt;=40,$F6&lt;=79),AND($F6&gt;=251,$F6&lt;=400)),Metodo!$C$29,Metodo!$C$30)))+IFERROR(INDEX(Metodo!$C$32:$C$35,MATCH($G6,Metodo!$B$32:$B$35,0)),0)+COUNTIF($H6:$J6,"Sim")*Metodo!$C$37+IFERROR(INDEX(Metodo!$C$39:$C$41,MATCH($K6,Metodo!$B$39:$B$41,0)),0))</f>
        <v/>
      </c>
      <c r="M6" s="25">
        <f>IF($L6="","",IF($L6&gt;=Metodo!$C$43,"A",IF($L6&gt;=Metodo!$C$44,"B","C")))</f>
        <v/>
      </c>
      <c r="N6" s="27" t="inlineStr">
        <is>
          <t>Nao contatado</t>
        </is>
      </c>
      <c r="O6" s="37" t="n"/>
      <c r="P6" s="28" t="n"/>
      <c r="Q6" s="27" t="inlineStr">
        <is>
          <t>Primeiro contato</t>
        </is>
      </c>
      <c r="R6" s="37" t="n"/>
      <c r="S6" s="27" t="n"/>
      <c r="T6" s="27" t="inlineStr">
        <is>
          <t>Tier 1 (varredura TomTom 2026-08-29, PR #185). Qualificacao: afiliado oficial. Mesma marca/Instagram da MK-1 Picanco (linha 5) - possivel 2a unidade da mesma rede, nao a mesma pessoa necessariamente. Confirmar antes de abordar como lead separado.</t>
        </is>
      </c>
    </row>
    <row r="7">
      <c r="A7" s="25">
        <f>IF($B7="","",ROW()-1)</f>
        <v/>
      </c>
      <c r="B7" s="11" t="inlineStr">
        <is>
          <t>CrossFit Saurus Bosque Maia</t>
        </is>
      </c>
      <c r="C7" s="11" t="inlineStr">
        <is>
          <t>Guarulhos - Vila Rio</t>
        </is>
      </c>
      <c r="D7" s="11" t="inlineStr">
        <is>
          <t>@crossfitsaurus</t>
        </is>
      </c>
      <c r="E7" s="11" t="inlineStr">
        <is>
          <t>+55 11 98254-0787</t>
        </is>
      </c>
      <c r="F7" s="31" t="n"/>
      <c r="G7" s="11" t="n"/>
      <c r="H7" s="11" t="n"/>
      <c r="I7" s="11" t="n"/>
      <c r="J7" s="11" t="n"/>
      <c r="K7" s="11" t="inlineStr">
        <is>
          <t>Grande SP</t>
        </is>
      </c>
      <c r="L7" s="25">
        <f>IF($B7="","",IF($F7="",Metodo!$C$30,IF(AND($F7&gt;=80,$F7&lt;=250),Metodo!$C$28,IF(OR(AND($F7&gt;=40,$F7&lt;=79),AND($F7&gt;=251,$F7&lt;=400)),Metodo!$C$29,Metodo!$C$30)))+IFERROR(INDEX(Metodo!$C$32:$C$35,MATCH($G7,Metodo!$B$32:$B$35,0)),0)+COUNTIF($H7:$J7,"Sim")*Metodo!$C$37+IFERROR(INDEX(Metodo!$C$39:$C$41,MATCH($K7,Metodo!$B$39:$B$41,0)),0))</f>
        <v/>
      </c>
      <c r="M7" s="25">
        <f>IF($L7="","",IF($L7&gt;=Metodo!$C$43,"A",IF($L7&gt;=Metodo!$C$44,"B","C")))</f>
        <v/>
      </c>
      <c r="N7" s="11" t="inlineStr">
        <is>
          <t>Nao contatado</t>
        </is>
      </c>
      <c r="O7" s="38" t="n"/>
      <c r="P7" s="31" t="n"/>
      <c r="Q7" s="11" t="inlineStr">
        <is>
          <t>Primeiro contato</t>
        </is>
      </c>
      <c r="R7" s="38" t="n"/>
      <c r="S7" s="11" t="n"/>
      <c r="T7" s="11" t="inlineStr">
        <is>
          <t>Tier 1 (varredura TomTom 2026-08-29, PR #185). Qualificacao: site proprio. ATENCAO: parece rede com 3+ unidades (Bosque Maia, Vila Guilherme, Freguesia, possivelmente mais - o mesmo telefone aparece tambem no Tier 2 como "CrossFit Saurus" em Vila Guilherme). Regra do script (secao 6) desqualifica rede com mais de 3 unidades na Fase 1 - confirmar com Renan antes de abordar; se confirmado, marcar Descartado.</t>
        </is>
      </c>
    </row>
    <row r="8">
      <c r="A8" s="25">
        <f>IF($B8="","",ROW()-1)</f>
        <v/>
      </c>
      <c r="B8" s="27" t="inlineStr">
        <is>
          <t>CrossFit Vila Augusta</t>
        </is>
      </c>
      <c r="C8" s="27" t="inlineStr">
        <is>
          <t>Guarulhos - Vila Augusta</t>
        </is>
      </c>
      <c r="D8" s="27" t="inlineStr">
        <is>
          <t>@crossfitvilaaugusta</t>
        </is>
      </c>
      <c r="E8" s="27" t="inlineStr">
        <is>
          <t>+55 11 93022-9182</t>
        </is>
      </c>
      <c r="F8" s="28" t="n"/>
      <c r="G8" s="27" t="n"/>
      <c r="H8" s="27" t="n"/>
      <c r="I8" s="27" t="n"/>
      <c r="J8" s="27" t="n"/>
      <c r="K8" s="27" t="inlineStr">
        <is>
          <t>Grande SP</t>
        </is>
      </c>
      <c r="L8" s="25">
        <f>IF($B8="","",IF($F8="",Metodo!$C$30,IF(AND($F8&gt;=80,$F8&lt;=250),Metodo!$C$28,IF(OR(AND($F8&gt;=40,$F8&lt;=79),AND($F8&gt;=251,$F8&lt;=400)),Metodo!$C$29,Metodo!$C$30)))+IFERROR(INDEX(Metodo!$C$32:$C$35,MATCH($G8,Metodo!$B$32:$B$35,0)),0)+COUNTIF($H8:$J8,"Sim")*Metodo!$C$37+IFERROR(INDEX(Metodo!$C$39:$C$41,MATCH($K8,Metodo!$B$39:$B$41,0)),0))</f>
        <v/>
      </c>
      <c r="M8" s="25">
        <f>IF($L8="","",IF($L8&gt;=Metodo!$C$43,"A",IF($L8&gt;=Metodo!$C$44,"B","C")))</f>
        <v/>
      </c>
      <c r="N8" s="27" t="inlineStr">
        <is>
          <t>Nao contatado</t>
        </is>
      </c>
      <c r="O8" s="37" t="n"/>
      <c r="P8" s="28" t="n"/>
      <c r="Q8" s="27" t="inlineStr">
        <is>
          <t>Primeiro contato</t>
        </is>
      </c>
      <c r="R8" s="37" t="n"/>
      <c r="S8" s="27" t="n"/>
      <c r="T8" s="27" t="inlineStr">
        <is>
          <t>Tier 1 (varredura TomTom 2026-08-29, PR #185). Qualificacao: afiliado oficial. Instagram @crossfitvilaaugusta, 1,2 mil seguidores. Comunidade bem ativa: aulao de dia dos pais, churrasco do box, musica ao vivo - perfil familiar/comunitario forte.</t>
        </is>
      </c>
    </row>
    <row r="9">
      <c r="A9" s="25">
        <f>IF($B9="","",ROW()-1)</f>
        <v/>
      </c>
      <c r="B9" s="11" t="inlineStr">
        <is>
          <t>Crossfit GRU</t>
        </is>
      </c>
      <c r="C9" s="11" t="inlineStr">
        <is>
          <t>Guarulhos - Vila Augusta</t>
        </is>
      </c>
      <c r="D9" s="11" t="inlineStr">
        <is>
          <t>@cf_gru</t>
        </is>
      </c>
      <c r="E9" s="11" t="inlineStr">
        <is>
          <t>+55 11 97246-7271</t>
        </is>
      </c>
      <c r="F9" s="31" t="n"/>
      <c r="G9" s="11" t="n"/>
      <c r="H9" s="11" t="n"/>
      <c r="I9" s="11" t="n"/>
      <c r="J9" s="11" t="n"/>
      <c r="K9" s="11" t="inlineStr">
        <is>
          <t>Grande SP</t>
        </is>
      </c>
      <c r="L9" s="25">
        <f>IF($B9="","",IF($F9="",Metodo!$C$30,IF(AND($F9&gt;=80,$F9&lt;=250),Metodo!$C$28,IF(OR(AND($F9&gt;=40,$F9&lt;=79),AND($F9&gt;=251,$F9&lt;=400)),Metodo!$C$29,Metodo!$C$30)))+IFERROR(INDEX(Metodo!$C$32:$C$35,MATCH($G9,Metodo!$B$32:$B$35,0)),0)+COUNTIF($H9:$J9,"Sim")*Metodo!$C$37+IFERROR(INDEX(Metodo!$C$39:$C$41,MATCH($K9,Metodo!$B$39:$B$41,0)),0))</f>
        <v/>
      </c>
      <c r="M9" s="25">
        <f>IF($L9="","",IF($L9&gt;=Metodo!$C$43,"A",IF($L9&gt;=Metodo!$C$44,"B","C")))</f>
        <v/>
      </c>
      <c r="N9" s="11" t="inlineStr">
        <is>
          <t>Nao contatado</t>
        </is>
      </c>
      <c r="O9" s="38" t="n"/>
      <c r="P9" s="31" t="n"/>
      <c r="Q9" s="11" t="inlineStr">
        <is>
          <t>Primeiro contato</t>
        </is>
      </c>
      <c r="R9" s="38" t="n"/>
      <c r="S9" s="11" t="n"/>
      <c r="T9" s="11" t="inlineStr">
        <is>
          <t>Tier 1 (varredura TomTom 2026-08-29, PR #185). Qualificacao: site proprio. Instagram @cf_gru, 6,1 mil seguidores, 8+ anos de historia. Posta o WOD do dia no feed regularmente (sinal direto da Variante A do script). Tem e-mail proprio (contato@crossfitgru.com).</t>
        </is>
      </c>
    </row>
    <row r="10">
      <c r="A10" s="25">
        <f>IF($B10="","",ROW()-1)</f>
        <v/>
      </c>
      <c r="B10" s="27" t="inlineStr">
        <is>
          <t>CrossFit Barueri</t>
        </is>
      </c>
      <c r="C10" s="27" t="inlineStr">
        <is>
          <t>Barueri - Alphaville</t>
        </is>
      </c>
      <c r="D10" s="27" t="n"/>
      <c r="E10" s="27" t="inlineStr">
        <is>
          <t>+55 11 97503-7921</t>
        </is>
      </c>
      <c r="F10" s="28" t="n"/>
      <c r="G10" s="27" t="n"/>
      <c r="H10" s="27" t="n"/>
      <c r="I10" s="27" t="n"/>
      <c r="J10" s="27" t="n"/>
      <c r="K10" s="27" t="inlineStr">
        <is>
          <t>Grande SP</t>
        </is>
      </c>
      <c r="L10" s="25">
        <f>IF($B10="","",IF($F10="",Metodo!$C$30,IF(AND($F10&gt;=80,$F10&lt;=250),Metodo!$C$28,IF(OR(AND($F10&gt;=40,$F10&lt;=79),AND($F10&gt;=251,$F10&lt;=400)),Metodo!$C$29,Metodo!$C$30)))+IFERROR(INDEX(Metodo!$C$32:$C$35,MATCH($G10,Metodo!$B$32:$B$35,0)),0)+COUNTIF($H10:$J10,"Sim")*Metodo!$C$37+IFERROR(INDEX(Metodo!$C$39:$C$41,MATCH($K10,Metodo!$B$39:$B$41,0)),0))</f>
        <v/>
      </c>
      <c r="M10" s="25">
        <f>IF($L10="","",IF($L10&gt;=Metodo!$C$43,"A",IF($L10&gt;=Metodo!$C$44,"B","C")))</f>
        <v/>
      </c>
      <c r="N10" s="27" t="inlineStr">
        <is>
          <t>Nao contatado</t>
        </is>
      </c>
      <c r="O10" s="37" t="n"/>
      <c r="P10" s="28" t="n"/>
      <c r="Q10" s="27" t="inlineStr">
        <is>
          <t>Primeiro contato</t>
        </is>
      </c>
      <c r="R10" s="37" t="n"/>
      <c r="S10" s="27" t="n"/>
      <c r="T10" s="27" t="inlineStr">
        <is>
          <t>Tier 2 (varredura TomTom 2026-08-29, PR #185). Qualificacao: afiliado oficial.</t>
        </is>
      </c>
    </row>
    <row r="11">
      <c r="A11" s="25">
        <f>IF($B11="","",ROW()-1)</f>
        <v/>
      </c>
      <c r="B11" s="11" t="inlineStr">
        <is>
          <t>CrossFit Rudge Ramos</t>
        </is>
      </c>
      <c r="C11" s="11" t="inlineStr">
        <is>
          <t>São Bernardo do Campo - Anchieta</t>
        </is>
      </c>
      <c r="D11" s="11" t="n"/>
      <c r="E11" s="11" t="n"/>
      <c r="F11" s="31" t="n"/>
      <c r="G11" s="11" t="n"/>
      <c r="H11" s="11" t="n"/>
      <c r="I11" s="11" t="n"/>
      <c r="J11" s="11" t="n"/>
      <c r="K11" s="11" t="inlineStr">
        <is>
          <t>Grande SP</t>
        </is>
      </c>
      <c r="L11" s="25">
        <f>IF($B11="","",IF($F11="",Metodo!$C$30,IF(AND($F11&gt;=80,$F11&lt;=250),Metodo!$C$28,IF(OR(AND($F11&gt;=40,$F11&lt;=79),AND($F11&gt;=251,$F11&lt;=400)),Metodo!$C$29,Metodo!$C$30)))+IFERROR(INDEX(Metodo!$C$32:$C$35,MATCH($G11,Metodo!$B$32:$B$35,0)),0)+COUNTIF($H11:$J11,"Sim")*Metodo!$C$37+IFERROR(INDEX(Metodo!$C$39:$C$41,MATCH($K11,Metodo!$B$39:$B$41,0)),0))</f>
        <v/>
      </c>
      <c r="M11" s="25">
        <f>IF($L11="","",IF($L11&gt;=Metodo!$C$43,"A",IF($L11&gt;=Metodo!$C$44,"B","C")))</f>
        <v/>
      </c>
      <c r="N11" s="11" t="inlineStr">
        <is>
          <t>Nao contatado</t>
        </is>
      </c>
      <c r="O11" s="38" t="n"/>
      <c r="P11" s="31" t="n"/>
      <c r="Q11" s="11" t="inlineStr">
        <is>
          <t>Achar contato</t>
        </is>
      </c>
      <c r="R11" s="38" t="n"/>
      <c r="S11" s="11" t="n"/>
      <c r="T11" s="11" t="inlineStr">
        <is>
          <t>Tier 2 (varredura TomTom 2026-08-29, PR #185). Qualificacao: afiliado oficial.</t>
        </is>
      </c>
    </row>
    <row r="12">
      <c r="A12" s="25">
        <f>IF($B12="","",ROW()-1)</f>
        <v/>
      </c>
      <c r="B12" s="27" t="inlineStr">
        <is>
          <t>Soren CrossFit</t>
        </is>
      </c>
      <c r="C12" s="27" t="inlineStr">
        <is>
          <t>São Bernardo do Campo - Anchieta</t>
        </is>
      </c>
      <c r="D12" s="27" t="n"/>
      <c r="E12" s="27" t="inlineStr">
        <is>
          <t>+55 11 95941-3662</t>
        </is>
      </c>
      <c r="F12" s="28" t="n"/>
      <c r="G12" s="27" t="n"/>
      <c r="H12" s="27" t="n"/>
      <c r="I12" s="27" t="n"/>
      <c r="J12" s="27" t="n"/>
      <c r="K12" s="27" t="inlineStr">
        <is>
          <t>Grande SP</t>
        </is>
      </c>
      <c r="L12" s="25">
        <f>IF($B12="","",IF($F12="",Metodo!$C$30,IF(AND($F12&gt;=80,$F12&lt;=250),Metodo!$C$28,IF(OR(AND($F12&gt;=40,$F12&lt;=79),AND($F12&gt;=251,$F12&lt;=400)),Metodo!$C$29,Metodo!$C$30)))+IFERROR(INDEX(Metodo!$C$32:$C$35,MATCH($G12,Metodo!$B$32:$B$35,0)),0)+COUNTIF($H12:$J12,"Sim")*Metodo!$C$37+IFERROR(INDEX(Metodo!$C$39:$C$41,MATCH($K12,Metodo!$B$39:$B$41,0)),0))</f>
        <v/>
      </c>
      <c r="M12" s="25">
        <f>IF($L12="","",IF($L12&gt;=Metodo!$C$43,"A",IF($L12&gt;=Metodo!$C$44,"B","C")))</f>
        <v/>
      </c>
      <c r="N12" s="27" t="inlineStr">
        <is>
          <t>Nao contatado</t>
        </is>
      </c>
      <c r="O12" s="37" t="n"/>
      <c r="P12" s="28" t="n"/>
      <c r="Q12" s="27" t="inlineStr">
        <is>
          <t>Primeiro contato</t>
        </is>
      </c>
      <c r="R12" s="37" t="n"/>
      <c r="S12" s="27" t="n"/>
      <c r="T12" s="27" t="inlineStr">
        <is>
          <t>Tier 2 (varredura TomTom 2026-08-29, PR #185). Qualificacao: afiliado oficial.</t>
        </is>
      </c>
    </row>
    <row r="13">
      <c r="A13" s="25">
        <f>IF($B13="","",ROW()-1)</f>
        <v/>
      </c>
      <c r="B13" s="11" t="inlineStr">
        <is>
          <t>B4thor CrossFit</t>
        </is>
      </c>
      <c r="C13" s="11" t="inlineStr">
        <is>
          <t>São Paulo - Campo Belo</t>
        </is>
      </c>
      <c r="D13" s="11" t="n"/>
      <c r="E13" s="11" t="inlineStr">
        <is>
          <t>+55 11 98244-0880</t>
        </is>
      </c>
      <c r="F13" s="31" t="n"/>
      <c r="G13" s="11" t="n"/>
      <c r="H13" s="11" t="n"/>
      <c r="I13" s="11" t="n"/>
      <c r="J13" s="11" t="n"/>
      <c r="K13" s="11" t="inlineStr">
        <is>
          <t>Grande SP</t>
        </is>
      </c>
      <c r="L13" s="25">
        <f>IF($B13="","",IF($F13="",Metodo!$C$30,IF(AND($F13&gt;=80,$F13&lt;=250),Metodo!$C$28,IF(OR(AND($F13&gt;=40,$F13&lt;=79),AND($F13&gt;=251,$F13&lt;=400)),Metodo!$C$29,Metodo!$C$30)))+IFERROR(INDEX(Metodo!$C$32:$C$35,MATCH($G13,Metodo!$B$32:$B$35,0)),0)+COUNTIF($H13:$J13,"Sim")*Metodo!$C$37+IFERROR(INDEX(Metodo!$C$39:$C$41,MATCH($K13,Metodo!$B$39:$B$41,0)),0))</f>
        <v/>
      </c>
      <c r="M13" s="25">
        <f>IF($L13="","",IF($L13&gt;=Metodo!$C$43,"A",IF($L13&gt;=Metodo!$C$44,"B","C")))</f>
        <v/>
      </c>
      <c r="N13" s="11" t="inlineStr">
        <is>
          <t>Nao contatado</t>
        </is>
      </c>
      <c r="O13" s="38" t="n"/>
      <c r="P13" s="31" t="n"/>
      <c r="Q13" s="11" t="inlineStr">
        <is>
          <t>Primeiro contato</t>
        </is>
      </c>
      <c r="R13" s="38" t="n"/>
      <c r="S13" s="11" t="n"/>
      <c r="T13" s="11" t="inlineStr">
        <is>
          <t>Tier 2 (varredura TomTom 2026-08-29, PR #185). Qualificacao: afiliado oficial.</t>
        </is>
      </c>
    </row>
    <row r="14">
      <c r="A14" s="25">
        <f>IF($B14="","",ROW()-1)</f>
        <v/>
      </c>
      <c r="B14" s="27" t="inlineStr">
        <is>
          <t>CrossFit</t>
        </is>
      </c>
      <c r="C14" s="27" t="inlineStr">
        <is>
          <t>São Paulo - Pinheiros</t>
        </is>
      </c>
      <c r="D14" s="27" t="n"/>
      <c r="E14" s="27" t="inlineStr">
        <is>
          <t>+55 11 97358-5345</t>
        </is>
      </c>
      <c r="F14" s="28" t="n"/>
      <c r="G14" s="27" t="n"/>
      <c r="H14" s="27" t="n"/>
      <c r="I14" s="27" t="n"/>
      <c r="J14" s="27" t="n"/>
      <c r="K14" s="27" t="inlineStr">
        <is>
          <t>Grande SP</t>
        </is>
      </c>
      <c r="L14" s="25">
        <f>IF($B14="","",IF($F14="",Metodo!$C$30,IF(AND($F14&gt;=80,$F14&lt;=250),Metodo!$C$28,IF(OR(AND($F14&gt;=40,$F14&lt;=79),AND($F14&gt;=251,$F14&lt;=400)),Metodo!$C$29,Metodo!$C$30)))+IFERROR(INDEX(Metodo!$C$32:$C$35,MATCH($G14,Metodo!$B$32:$B$35,0)),0)+COUNTIF($H14:$J14,"Sim")*Metodo!$C$37+IFERROR(INDEX(Metodo!$C$39:$C$41,MATCH($K14,Metodo!$B$39:$B$41,0)),0))</f>
        <v/>
      </c>
      <c r="M14" s="25">
        <f>IF($L14="","",IF($L14&gt;=Metodo!$C$43,"A",IF($L14&gt;=Metodo!$C$44,"B","C")))</f>
        <v/>
      </c>
      <c r="N14" s="27" t="inlineStr">
        <is>
          <t>Nao contatado</t>
        </is>
      </c>
      <c r="O14" s="37" t="n"/>
      <c r="P14" s="28" t="n"/>
      <c r="Q14" s="27" t="inlineStr">
        <is>
          <t>Primeiro contato</t>
        </is>
      </c>
      <c r="R14" s="37" t="n"/>
      <c r="S14" s="27" t="n"/>
      <c r="T14" s="27" t="inlineStr">
        <is>
          <t>Tier 2 (varredura TomTom 2026-08-29, PR #185). Qualificacao: afiliado oficial.</t>
        </is>
      </c>
    </row>
    <row r="15">
      <c r="A15" s="25">
        <f>IF($B15="","",ROW()-1)</f>
        <v/>
      </c>
      <c r="B15" s="11" t="inlineStr">
        <is>
          <t>CrossFit Azteca</t>
        </is>
      </c>
      <c r="C15" s="11" t="inlineStr">
        <is>
          <t>São Paulo - Santo Amaro</t>
        </is>
      </c>
      <c r="D15" s="11" t="n"/>
      <c r="E15" s="11" t="inlineStr">
        <is>
          <t>+55 11 97205-9595</t>
        </is>
      </c>
      <c r="F15" s="31" t="n"/>
      <c r="G15" s="11" t="n"/>
      <c r="H15" s="11" t="n"/>
      <c r="I15" s="11" t="n"/>
      <c r="J15" s="11" t="n"/>
      <c r="K15" s="11" t="inlineStr">
        <is>
          <t>Grande SP</t>
        </is>
      </c>
      <c r="L15" s="25">
        <f>IF($B15="","",IF($F15="",Metodo!$C$30,IF(AND($F15&gt;=80,$F15&lt;=250),Metodo!$C$28,IF(OR(AND($F15&gt;=40,$F15&lt;=79),AND($F15&gt;=251,$F15&lt;=400)),Metodo!$C$29,Metodo!$C$30)))+IFERROR(INDEX(Metodo!$C$32:$C$35,MATCH($G15,Metodo!$B$32:$B$35,0)),0)+COUNTIF($H15:$J15,"Sim")*Metodo!$C$37+IFERROR(INDEX(Metodo!$C$39:$C$41,MATCH($K15,Metodo!$B$39:$B$41,0)),0))</f>
        <v/>
      </c>
      <c r="M15" s="25">
        <f>IF($L15="","",IF($L15&gt;=Metodo!$C$43,"A",IF($L15&gt;=Metodo!$C$44,"B","C")))</f>
        <v/>
      </c>
      <c r="N15" s="11" t="inlineStr">
        <is>
          <t>Nao contatado</t>
        </is>
      </c>
      <c r="O15" s="38" t="n"/>
      <c r="P15" s="31" t="n"/>
      <c r="Q15" s="11" t="inlineStr">
        <is>
          <t>Primeiro contato</t>
        </is>
      </c>
      <c r="R15" s="38" t="n"/>
      <c r="S15" s="11" t="n"/>
      <c r="T15" s="11" t="inlineStr">
        <is>
          <t>Tier 2 (varredura TomTom 2026-08-29, PR #185). Qualificacao: afiliado oficial.</t>
        </is>
      </c>
    </row>
    <row r="16">
      <c r="A16" s="25">
        <f>IF($B16="","",ROW()-1)</f>
        <v/>
      </c>
      <c r="B16" s="27" t="inlineStr">
        <is>
          <t>CrossFit Batalha</t>
        </is>
      </c>
      <c r="C16" s="27" t="inlineStr">
        <is>
          <t>São Paulo - Jacana</t>
        </is>
      </c>
      <c r="D16" s="27" t="inlineStr">
        <is>
          <t>@crossfitbatalha</t>
        </is>
      </c>
      <c r="E16" s="27" t="inlineStr">
        <is>
          <t>+55 11 94037-4949</t>
        </is>
      </c>
      <c r="F16" s="28" t="n"/>
      <c r="G16" s="27" t="n"/>
      <c r="H16" s="27" t="n"/>
      <c r="I16" s="27" t="n"/>
      <c r="J16" s="27" t="n"/>
      <c r="K16" s="27" t="inlineStr">
        <is>
          <t>Grande SP</t>
        </is>
      </c>
      <c r="L16" s="25">
        <f>IF($B16="","",IF($F16="",Metodo!$C$30,IF(AND($F16&gt;=80,$F16&lt;=250),Metodo!$C$28,IF(OR(AND($F16&gt;=40,$F16&lt;=79),AND($F16&gt;=251,$F16&lt;=400)),Metodo!$C$29,Metodo!$C$30)))+IFERROR(INDEX(Metodo!$C$32:$C$35,MATCH($G16,Metodo!$B$32:$B$35,0)),0)+COUNTIF($H16:$J16,"Sim")*Metodo!$C$37+IFERROR(INDEX(Metodo!$C$39:$C$41,MATCH($K16,Metodo!$B$39:$B$41,0)),0))</f>
        <v/>
      </c>
      <c r="M16" s="25">
        <f>IF($L16="","",IF($L16&gt;=Metodo!$C$43,"A",IF($L16&gt;=Metodo!$C$44,"B","C")))</f>
        <v/>
      </c>
      <c r="N16" s="27" t="inlineStr">
        <is>
          <t>Nao contatado</t>
        </is>
      </c>
      <c r="O16" s="37" t="n"/>
      <c r="P16" s="28" t="n"/>
      <c r="Q16" s="27" t="inlineStr">
        <is>
          <t>Primeiro contato</t>
        </is>
      </c>
      <c r="R16" s="37" t="n"/>
      <c r="S16" s="27" t="n"/>
      <c r="T16" s="27" t="inlineStr">
        <is>
          <t>Tier 2 (varredura TomTom 2026-08-29, PR #185). Qualificacao: afiliado oficial. Instagram @crossfitbatalha, 3,7 mil seguidores, Jacana/zona norte. Posiciona "CrossFit e para TODOS" e agenda aula experimental direto pelo Instagram - fluxo de agendamento manual.</t>
        </is>
      </c>
    </row>
    <row r="17">
      <c r="A17" s="25">
        <f>IF($B17="","",ROW()-1)</f>
        <v/>
      </c>
      <c r="B17" s="11" t="inlineStr">
        <is>
          <t>CrossFit Beco</t>
        </is>
      </c>
      <c r="C17" s="11" t="inlineStr">
        <is>
          <t>São Paulo - Vila Leopoldina</t>
        </is>
      </c>
      <c r="D17" s="11" t="n"/>
      <c r="E17" s="11" t="inlineStr">
        <is>
          <t>+55 11 95240-4007</t>
        </is>
      </c>
      <c r="F17" s="31" t="n"/>
      <c r="G17" s="11" t="n"/>
      <c r="H17" s="11" t="n"/>
      <c r="I17" s="11" t="n"/>
      <c r="J17" s="11" t="n"/>
      <c r="K17" s="11" t="inlineStr">
        <is>
          <t>Grande SP</t>
        </is>
      </c>
      <c r="L17" s="25">
        <f>IF($B17="","",IF($F17="",Metodo!$C$30,IF(AND($F17&gt;=80,$F17&lt;=250),Metodo!$C$28,IF(OR(AND($F17&gt;=40,$F17&lt;=79),AND($F17&gt;=251,$F17&lt;=400)),Metodo!$C$29,Metodo!$C$30)))+IFERROR(INDEX(Metodo!$C$32:$C$35,MATCH($G17,Metodo!$B$32:$B$35,0)),0)+COUNTIF($H17:$J17,"Sim")*Metodo!$C$37+IFERROR(INDEX(Metodo!$C$39:$C$41,MATCH($K17,Metodo!$B$39:$B$41,0)),0))</f>
        <v/>
      </c>
      <c r="M17" s="25">
        <f>IF($L17="","",IF($L17&gt;=Metodo!$C$43,"A",IF($L17&gt;=Metodo!$C$44,"B","C")))</f>
        <v/>
      </c>
      <c r="N17" s="11" t="inlineStr">
        <is>
          <t>Nao contatado</t>
        </is>
      </c>
      <c r="O17" s="38" t="n"/>
      <c r="P17" s="31" t="n"/>
      <c r="Q17" s="11" t="inlineStr">
        <is>
          <t>Primeiro contato</t>
        </is>
      </c>
      <c r="R17" s="38" t="n"/>
      <c r="S17" s="11" t="n"/>
      <c r="T17" s="11" t="inlineStr">
        <is>
          <t>Tier 2 (varredura TomTom 2026-08-29, PR #185). Qualificacao: afiliado oficial.</t>
        </is>
      </c>
    </row>
    <row r="18">
      <c r="A18" s="25">
        <f>IF($B18="","",ROW()-1)</f>
        <v/>
      </c>
      <c r="B18" s="27" t="inlineStr">
        <is>
          <t>CrossFit Betta</t>
        </is>
      </c>
      <c r="C18" s="27" t="inlineStr">
        <is>
          <t>São Paulo - Mandaqui</t>
        </is>
      </c>
      <c r="D18" s="27" t="inlineStr">
        <is>
          <t>@crossfitbetta</t>
        </is>
      </c>
      <c r="E18" s="27" t="inlineStr">
        <is>
          <t>+55 11 2281-9110</t>
        </is>
      </c>
      <c r="F18" s="28" t="n"/>
      <c r="G18" s="27" t="n"/>
      <c r="H18" s="27" t="n"/>
      <c r="I18" s="27" t="n"/>
      <c r="J18" s="27" t="n"/>
      <c r="K18" s="27" t="inlineStr">
        <is>
          <t>Grande SP</t>
        </is>
      </c>
      <c r="L18" s="25">
        <f>IF($B18="","",IF($F18="",Metodo!$C$30,IF(AND($F18&gt;=80,$F18&lt;=250),Metodo!$C$28,IF(OR(AND($F18&gt;=40,$F18&lt;=79),AND($F18&gt;=251,$F18&lt;=400)),Metodo!$C$29,Metodo!$C$30)))+IFERROR(INDEX(Metodo!$C$32:$C$35,MATCH($G18,Metodo!$B$32:$B$35,0)),0)+COUNTIF($H18:$J18,"Sim")*Metodo!$C$37+IFERROR(INDEX(Metodo!$C$39:$C$41,MATCH($K18,Metodo!$B$39:$B$41,0)),0))</f>
        <v/>
      </c>
      <c r="M18" s="25">
        <f>IF($L18="","",IF($L18&gt;=Metodo!$C$43,"A",IF($L18&gt;=Metodo!$C$44,"B","C")))</f>
        <v/>
      </c>
      <c r="N18" s="27" t="inlineStr">
        <is>
          <t>Nao contatado</t>
        </is>
      </c>
      <c r="O18" s="37" t="n"/>
      <c r="P18" s="28" t="n"/>
      <c r="Q18" s="27" t="inlineStr">
        <is>
          <t>Primeiro contato</t>
        </is>
      </c>
      <c r="R18" s="37" t="n"/>
      <c r="S18" s="27" t="n"/>
      <c r="T18" s="27" t="inlineStr">
        <is>
          <t>Tier 2 (varredura TomTom 2026-08-29, PR #185). Qualificacao: afiliado oficial. Instagram @crossfitbetta, quase 4 mil seguidores, Mandaqui. Posicionamento de bem-estar ("saude fisica e mental", "mais que uma academia").</t>
        </is>
      </c>
    </row>
    <row r="19">
      <c r="A19" s="25">
        <f>IF($B19="","",ROW()-1)</f>
        <v/>
      </c>
      <c r="B19" s="11" t="inlineStr">
        <is>
          <t>CrossFit Bronx</t>
        </is>
      </c>
      <c r="C19" s="11" t="inlineStr">
        <is>
          <t>São Paulo - Itaim Bibi</t>
        </is>
      </c>
      <c r="D19" s="11" t="n"/>
      <c r="E19" s="11" t="inlineStr">
        <is>
          <t>+55 11 99292-6136</t>
        </is>
      </c>
      <c r="F19" s="31" t="n"/>
      <c r="G19" s="11" t="n"/>
      <c r="H19" s="11" t="n"/>
      <c r="I19" s="11" t="n"/>
      <c r="J19" s="11" t="n"/>
      <c r="K19" s="11" t="inlineStr">
        <is>
          <t>Grande SP</t>
        </is>
      </c>
      <c r="L19" s="25">
        <f>IF($B19="","",IF($F19="",Metodo!$C$30,IF(AND($F19&gt;=80,$F19&lt;=250),Metodo!$C$28,IF(OR(AND($F19&gt;=40,$F19&lt;=79),AND($F19&gt;=251,$F19&lt;=400)),Metodo!$C$29,Metodo!$C$30)))+IFERROR(INDEX(Metodo!$C$32:$C$35,MATCH($G19,Metodo!$B$32:$B$35,0)),0)+COUNTIF($H19:$J19,"Sim")*Metodo!$C$37+IFERROR(INDEX(Metodo!$C$39:$C$41,MATCH($K19,Metodo!$B$39:$B$41,0)),0))</f>
        <v/>
      </c>
      <c r="M19" s="25">
        <f>IF($L19="","",IF($L19&gt;=Metodo!$C$43,"A",IF($L19&gt;=Metodo!$C$44,"B","C")))</f>
        <v/>
      </c>
      <c r="N19" s="11" t="inlineStr">
        <is>
          <t>Nao contatado</t>
        </is>
      </c>
      <c r="O19" s="38" t="n"/>
      <c r="P19" s="31" t="n"/>
      <c r="Q19" s="11" t="inlineStr">
        <is>
          <t>Primeiro contato</t>
        </is>
      </c>
      <c r="R19" s="38" t="n"/>
      <c r="S19" s="11" t="n"/>
      <c r="T19" s="11" t="inlineStr">
        <is>
          <t>Tier 2 (varredura TomTom 2026-08-29, PR #185). Qualificacao: afiliado oficial.</t>
        </is>
      </c>
    </row>
    <row r="20">
      <c r="A20" s="25">
        <f>IF($B20="","",ROW()-1)</f>
        <v/>
      </c>
      <c r="B20" s="27" t="inlineStr">
        <is>
          <t>CrossFit Campo Bacharel</t>
        </is>
      </c>
      <c r="C20" s="27" t="inlineStr">
        <is>
          <t>São Paulo - Campo Belo</t>
        </is>
      </c>
      <c r="D20" s="27" t="n"/>
      <c r="E20" s="27" t="inlineStr">
        <is>
          <t>+55 11 2397-0779</t>
        </is>
      </c>
      <c r="F20" s="28" t="n"/>
      <c r="G20" s="27" t="n"/>
      <c r="H20" s="27" t="n"/>
      <c r="I20" s="27" t="n"/>
      <c r="J20" s="27" t="n"/>
      <c r="K20" s="27" t="inlineStr">
        <is>
          <t>Grande SP</t>
        </is>
      </c>
      <c r="L20" s="25">
        <f>IF($B20="","",IF($F20="",Metodo!$C$30,IF(AND($F20&gt;=80,$F20&lt;=250),Metodo!$C$28,IF(OR(AND($F20&gt;=40,$F20&lt;=79),AND($F20&gt;=251,$F20&lt;=400)),Metodo!$C$29,Metodo!$C$30)))+IFERROR(INDEX(Metodo!$C$32:$C$35,MATCH($G20,Metodo!$B$32:$B$35,0)),0)+COUNTIF($H20:$J20,"Sim")*Metodo!$C$37+IFERROR(INDEX(Metodo!$C$39:$C$41,MATCH($K20,Metodo!$B$39:$B$41,0)),0))</f>
        <v/>
      </c>
      <c r="M20" s="25">
        <f>IF($L20="","",IF($L20&gt;=Metodo!$C$43,"A",IF($L20&gt;=Metodo!$C$44,"B","C")))</f>
        <v/>
      </c>
      <c r="N20" s="27" t="inlineStr">
        <is>
          <t>Nao contatado</t>
        </is>
      </c>
      <c r="O20" s="37" t="n"/>
      <c r="P20" s="28" t="n"/>
      <c r="Q20" s="27" t="inlineStr">
        <is>
          <t>Primeiro contato</t>
        </is>
      </c>
      <c r="R20" s="37" t="n"/>
      <c r="S20" s="27" t="n"/>
      <c r="T20" s="27" t="inlineStr">
        <is>
          <t>Tier 2 (varredura TomTom 2026-08-29, PR #185). Qualificacao: afiliado oficial.</t>
        </is>
      </c>
    </row>
    <row r="21">
      <c r="A21" s="25">
        <f>IF($B21="","",ROW()-1)</f>
        <v/>
      </c>
      <c r="B21" s="11" t="inlineStr">
        <is>
          <t>CrossFit City Wolves</t>
        </is>
      </c>
      <c r="C21" s="11" t="inlineStr">
        <is>
          <t>São Paulo - Saúde</t>
        </is>
      </c>
      <c r="D21" s="11" t="n"/>
      <c r="E21" s="11" t="inlineStr">
        <is>
          <t>+55 11 99358-0631</t>
        </is>
      </c>
      <c r="F21" s="31" t="n"/>
      <c r="G21" s="11" t="n"/>
      <c r="H21" s="11" t="n"/>
      <c r="I21" s="11" t="n"/>
      <c r="J21" s="11" t="n"/>
      <c r="K21" s="11" t="inlineStr">
        <is>
          <t>Grande SP</t>
        </is>
      </c>
      <c r="L21" s="25">
        <f>IF($B21="","",IF($F21="",Metodo!$C$30,IF(AND($F21&gt;=80,$F21&lt;=250),Metodo!$C$28,IF(OR(AND($F21&gt;=40,$F21&lt;=79),AND($F21&gt;=251,$F21&lt;=400)),Metodo!$C$29,Metodo!$C$30)))+IFERROR(INDEX(Metodo!$C$32:$C$35,MATCH($G21,Metodo!$B$32:$B$35,0)),0)+COUNTIF($H21:$J21,"Sim")*Metodo!$C$37+IFERROR(INDEX(Metodo!$C$39:$C$41,MATCH($K21,Metodo!$B$39:$B$41,0)),0))</f>
        <v/>
      </c>
      <c r="M21" s="25">
        <f>IF($L21="","",IF($L21&gt;=Metodo!$C$43,"A",IF($L21&gt;=Metodo!$C$44,"B","C")))</f>
        <v/>
      </c>
      <c r="N21" s="11" t="inlineStr">
        <is>
          <t>Nao contatado</t>
        </is>
      </c>
      <c r="O21" s="38" t="n"/>
      <c r="P21" s="31" t="n"/>
      <c r="Q21" s="11" t="inlineStr">
        <is>
          <t>Primeiro contato</t>
        </is>
      </c>
      <c r="R21" s="38" t="n"/>
      <c r="S21" s="11" t="n"/>
      <c r="T21" s="11" t="inlineStr">
        <is>
          <t>Tier 2 (varredura TomTom 2026-08-29, PR #185). Qualificacao: afiliado oficial.</t>
        </is>
      </c>
    </row>
    <row r="22">
      <c r="A22" s="25">
        <f>IF($B22="","",ROW()-1)</f>
        <v/>
      </c>
      <c r="B22" s="27" t="inlineStr">
        <is>
          <t>CrossFit Conceição</t>
        </is>
      </c>
      <c r="C22" s="27" t="inlineStr">
        <is>
          <t>São Paulo - Jabaquara</t>
        </is>
      </c>
      <c r="D22" s="27" t="n"/>
      <c r="E22" s="27" t="inlineStr">
        <is>
          <t>+55 11 5017-7283</t>
        </is>
      </c>
      <c r="F22" s="28" t="n"/>
      <c r="G22" s="27" t="n"/>
      <c r="H22" s="27" t="n"/>
      <c r="I22" s="27" t="n"/>
      <c r="J22" s="27" t="n"/>
      <c r="K22" s="27" t="inlineStr">
        <is>
          <t>Grande SP</t>
        </is>
      </c>
      <c r="L22" s="25">
        <f>IF($B22="","",IF($F22="",Metodo!$C$30,IF(AND($F22&gt;=80,$F22&lt;=250),Metodo!$C$28,IF(OR(AND($F22&gt;=40,$F22&lt;=79),AND($F22&gt;=251,$F22&lt;=400)),Metodo!$C$29,Metodo!$C$30)))+IFERROR(INDEX(Metodo!$C$32:$C$35,MATCH($G22,Metodo!$B$32:$B$35,0)),0)+COUNTIF($H22:$J22,"Sim")*Metodo!$C$37+IFERROR(INDEX(Metodo!$C$39:$C$41,MATCH($K22,Metodo!$B$39:$B$41,0)),0))</f>
        <v/>
      </c>
      <c r="M22" s="25">
        <f>IF($L22="","",IF($L22&gt;=Metodo!$C$43,"A",IF($L22&gt;=Metodo!$C$44,"B","C")))</f>
        <v/>
      </c>
      <c r="N22" s="27" t="inlineStr">
        <is>
          <t>Nao contatado</t>
        </is>
      </c>
      <c r="O22" s="37" t="n"/>
      <c r="P22" s="28" t="n"/>
      <c r="Q22" s="27" t="inlineStr">
        <is>
          <t>Primeiro contato</t>
        </is>
      </c>
      <c r="R22" s="37" t="n"/>
      <c r="S22" s="27" t="n"/>
      <c r="T22" s="27" t="inlineStr">
        <is>
          <t>Tier 2 (varredura TomTom 2026-08-29, PR #185). Qualificacao: afiliado oficial.</t>
        </is>
      </c>
    </row>
    <row r="23">
      <c r="A23" s="25">
        <f>IF($B23="","",ROW()-1)</f>
        <v/>
      </c>
      <c r="B23" s="11" t="inlineStr">
        <is>
          <t>CrossFit Fire Hawks</t>
        </is>
      </c>
      <c r="C23" s="11" t="inlineStr">
        <is>
          <t>São Paulo - Vila Mariana</t>
        </is>
      </c>
      <c r="D23" s="11" t="n"/>
      <c r="E23" s="11" t="inlineStr">
        <is>
          <t>+55 11 96609-2246</t>
        </is>
      </c>
      <c r="F23" s="31" t="n"/>
      <c r="G23" s="11" t="n"/>
      <c r="H23" s="11" t="n"/>
      <c r="I23" s="11" t="n"/>
      <c r="J23" s="11" t="n"/>
      <c r="K23" s="11" t="inlineStr">
        <is>
          <t>Grande SP</t>
        </is>
      </c>
      <c r="L23" s="25">
        <f>IF($B23="","",IF($F23="",Metodo!$C$30,IF(AND($F23&gt;=80,$F23&lt;=250),Metodo!$C$28,IF(OR(AND($F23&gt;=40,$F23&lt;=79),AND($F23&gt;=251,$F23&lt;=400)),Metodo!$C$29,Metodo!$C$30)))+IFERROR(INDEX(Metodo!$C$32:$C$35,MATCH($G23,Metodo!$B$32:$B$35,0)),0)+COUNTIF($H23:$J23,"Sim")*Metodo!$C$37+IFERROR(INDEX(Metodo!$C$39:$C$41,MATCH($K23,Metodo!$B$39:$B$41,0)),0))</f>
        <v/>
      </c>
      <c r="M23" s="25">
        <f>IF($L23="","",IF($L23&gt;=Metodo!$C$43,"A",IF($L23&gt;=Metodo!$C$44,"B","C")))</f>
        <v/>
      </c>
      <c r="N23" s="11" t="inlineStr">
        <is>
          <t>Nao contatado</t>
        </is>
      </c>
      <c r="O23" s="38" t="n"/>
      <c r="P23" s="31" t="n"/>
      <c r="Q23" s="11" t="inlineStr">
        <is>
          <t>Primeiro contato</t>
        </is>
      </c>
      <c r="R23" s="38" t="n"/>
      <c r="S23" s="11" t="n"/>
      <c r="T23" s="11" t="inlineStr">
        <is>
          <t>Tier 2 (varredura TomTom 2026-08-29, PR #185). Qualificacao: afiliado oficial.</t>
        </is>
      </c>
    </row>
    <row r="24">
      <c r="A24" s="25">
        <f>IF($B24="","",ROW()-1)</f>
        <v/>
      </c>
      <c r="B24" s="27" t="inlineStr">
        <is>
          <t>CrossFit Four Heads</t>
        </is>
      </c>
      <c r="C24" s="27" t="inlineStr">
        <is>
          <t>São Paulo - Saúde</t>
        </is>
      </c>
      <c r="D24" s="27" t="n"/>
      <c r="E24" s="27" t="inlineStr">
        <is>
          <t>+55 11 99170-7922</t>
        </is>
      </c>
      <c r="F24" s="28" t="n"/>
      <c r="G24" s="27" t="n"/>
      <c r="H24" s="27" t="n"/>
      <c r="I24" s="27" t="n"/>
      <c r="J24" s="27" t="n"/>
      <c r="K24" s="27" t="inlineStr">
        <is>
          <t>Grande SP</t>
        </is>
      </c>
      <c r="L24" s="25">
        <f>IF($B24="","",IF($F24="",Metodo!$C$30,IF(AND($F24&gt;=80,$F24&lt;=250),Metodo!$C$28,IF(OR(AND($F24&gt;=40,$F24&lt;=79),AND($F24&gt;=251,$F24&lt;=400)),Metodo!$C$29,Metodo!$C$30)))+IFERROR(INDEX(Metodo!$C$32:$C$35,MATCH($G24,Metodo!$B$32:$B$35,0)),0)+COUNTIF($H24:$J24,"Sim")*Metodo!$C$37+IFERROR(INDEX(Metodo!$C$39:$C$41,MATCH($K24,Metodo!$B$39:$B$41,0)),0))</f>
        <v/>
      </c>
      <c r="M24" s="25">
        <f>IF($L24="","",IF($L24&gt;=Metodo!$C$43,"A",IF($L24&gt;=Metodo!$C$44,"B","C")))</f>
        <v/>
      </c>
      <c r="N24" s="27" t="inlineStr">
        <is>
          <t>Nao contatado</t>
        </is>
      </c>
      <c r="O24" s="37" t="n"/>
      <c r="P24" s="28" t="n"/>
      <c r="Q24" s="27" t="inlineStr">
        <is>
          <t>Primeiro contato</t>
        </is>
      </c>
      <c r="R24" s="37" t="n"/>
      <c r="S24" s="27" t="n"/>
      <c r="T24" s="27" t="inlineStr">
        <is>
          <t>Tier 2 (varredura TomTom 2026-08-29, PR #185). Qualificacao: afiliado oficial.</t>
        </is>
      </c>
    </row>
    <row r="25">
      <c r="A25" s="25">
        <f>IF($B25="","",ROW()-1)</f>
        <v/>
      </c>
      <c r="B25" s="11" t="inlineStr">
        <is>
          <t>CrossFit Higienópolis</t>
        </is>
      </c>
      <c r="C25" s="11" t="inlineStr">
        <is>
          <t>São Paulo - Consolação</t>
        </is>
      </c>
      <c r="D25" s="11" t="n"/>
      <c r="E25" s="11" t="inlineStr">
        <is>
          <t>+55 11 96336-6412</t>
        </is>
      </c>
      <c r="F25" s="31" t="n"/>
      <c r="G25" s="11" t="n"/>
      <c r="H25" s="11" t="n"/>
      <c r="I25" s="11" t="n"/>
      <c r="J25" s="11" t="n"/>
      <c r="K25" s="11" t="inlineStr">
        <is>
          <t>Grande SP</t>
        </is>
      </c>
      <c r="L25" s="25">
        <f>IF($B25="","",IF($F25="",Metodo!$C$30,IF(AND($F25&gt;=80,$F25&lt;=250),Metodo!$C$28,IF(OR(AND($F25&gt;=40,$F25&lt;=79),AND($F25&gt;=251,$F25&lt;=400)),Metodo!$C$29,Metodo!$C$30)))+IFERROR(INDEX(Metodo!$C$32:$C$35,MATCH($G25,Metodo!$B$32:$B$35,0)),0)+COUNTIF($H25:$J25,"Sim")*Metodo!$C$37+IFERROR(INDEX(Metodo!$C$39:$C$41,MATCH($K25,Metodo!$B$39:$B$41,0)),0))</f>
        <v/>
      </c>
      <c r="M25" s="25">
        <f>IF($L25="","",IF($L25&gt;=Metodo!$C$43,"A",IF($L25&gt;=Metodo!$C$44,"B","C")))</f>
        <v/>
      </c>
      <c r="N25" s="11" t="inlineStr">
        <is>
          <t>Nao contatado</t>
        </is>
      </c>
      <c r="O25" s="38" t="n"/>
      <c r="P25" s="31" t="n"/>
      <c r="Q25" s="11" t="inlineStr">
        <is>
          <t>Primeiro contato</t>
        </is>
      </c>
      <c r="R25" s="38" t="n"/>
      <c r="S25" s="11" t="n"/>
      <c r="T25" s="11" t="inlineStr">
        <is>
          <t>Tier 2 (varredura TomTom 2026-08-29, PR #185). Qualificacao: afiliado oficial.</t>
        </is>
      </c>
    </row>
    <row r="26">
      <c r="A26" s="25">
        <f>IF($B26="","",ROW()-1)</f>
        <v/>
      </c>
      <c r="B26" s="27" t="inlineStr">
        <is>
          <t>CrossFit Juntos</t>
        </is>
      </c>
      <c r="C26" s="27" t="inlineStr">
        <is>
          <t>São Paulo - Itaim Bibi</t>
        </is>
      </c>
      <c r="D26" s="27" t="n"/>
      <c r="E26" s="27" t="inlineStr">
        <is>
          <t>+55 11 99947-5785</t>
        </is>
      </c>
      <c r="F26" s="28" t="n"/>
      <c r="G26" s="27" t="n"/>
      <c r="H26" s="27" t="n"/>
      <c r="I26" s="27" t="n"/>
      <c r="J26" s="27" t="n"/>
      <c r="K26" s="27" t="inlineStr">
        <is>
          <t>Grande SP</t>
        </is>
      </c>
      <c r="L26" s="25">
        <f>IF($B26="","",IF($F26="",Metodo!$C$30,IF(AND($F26&gt;=80,$F26&lt;=250),Metodo!$C$28,IF(OR(AND($F26&gt;=40,$F26&lt;=79),AND($F26&gt;=251,$F26&lt;=400)),Metodo!$C$29,Metodo!$C$30)))+IFERROR(INDEX(Metodo!$C$32:$C$35,MATCH($G26,Metodo!$B$32:$B$35,0)),0)+COUNTIF($H26:$J26,"Sim")*Metodo!$C$37+IFERROR(INDEX(Metodo!$C$39:$C$41,MATCH($K26,Metodo!$B$39:$B$41,0)),0))</f>
        <v/>
      </c>
      <c r="M26" s="25">
        <f>IF($L26="","",IF($L26&gt;=Metodo!$C$43,"A",IF($L26&gt;=Metodo!$C$44,"B","C")))</f>
        <v/>
      </c>
      <c r="N26" s="27" t="inlineStr">
        <is>
          <t>Nao contatado</t>
        </is>
      </c>
      <c r="O26" s="37" t="n"/>
      <c r="P26" s="28" t="n"/>
      <c r="Q26" s="27" t="inlineStr">
        <is>
          <t>Primeiro contato</t>
        </is>
      </c>
      <c r="R26" s="37" t="n"/>
      <c r="S26" s="27" t="n"/>
      <c r="T26" s="27" t="inlineStr">
        <is>
          <t>Tier 2 (varredura TomTom 2026-08-29, PR #185). Qualificacao: afiliado oficial.</t>
        </is>
      </c>
    </row>
    <row r="27">
      <c r="A27" s="25">
        <f>IF($B27="","",ROW()-1)</f>
        <v/>
      </c>
      <c r="B27" s="11" t="inlineStr">
        <is>
          <t>CrossFit Rutilo</t>
        </is>
      </c>
      <c r="C27" s="11" t="inlineStr">
        <is>
          <t>São Paulo - Lapa</t>
        </is>
      </c>
      <c r="D27" s="11" t="n"/>
      <c r="E27" s="11" t="inlineStr">
        <is>
          <t>+55 11 94390-7851</t>
        </is>
      </c>
      <c r="F27" s="31" t="n"/>
      <c r="G27" s="11" t="n"/>
      <c r="H27" s="11" t="n"/>
      <c r="I27" s="11" t="n"/>
      <c r="J27" s="11" t="n"/>
      <c r="K27" s="11" t="inlineStr">
        <is>
          <t>Grande SP</t>
        </is>
      </c>
      <c r="L27" s="25">
        <f>IF($B27="","",IF($F27="",Metodo!$C$30,IF(AND($F27&gt;=80,$F27&lt;=250),Metodo!$C$28,IF(OR(AND($F27&gt;=40,$F27&lt;=79),AND($F27&gt;=251,$F27&lt;=400)),Metodo!$C$29,Metodo!$C$30)))+IFERROR(INDEX(Metodo!$C$32:$C$35,MATCH($G27,Metodo!$B$32:$B$35,0)),0)+COUNTIF($H27:$J27,"Sim")*Metodo!$C$37+IFERROR(INDEX(Metodo!$C$39:$C$41,MATCH($K27,Metodo!$B$39:$B$41,0)),0))</f>
        <v/>
      </c>
      <c r="M27" s="25">
        <f>IF($L27="","",IF($L27&gt;=Metodo!$C$43,"A",IF($L27&gt;=Metodo!$C$44,"B","C")))</f>
        <v/>
      </c>
      <c r="N27" s="11" t="inlineStr">
        <is>
          <t>Nao contatado</t>
        </is>
      </c>
      <c r="O27" s="38" t="n"/>
      <c r="P27" s="31" t="n"/>
      <c r="Q27" s="11" t="inlineStr">
        <is>
          <t>Primeiro contato</t>
        </is>
      </c>
      <c r="R27" s="38" t="n"/>
      <c r="S27" s="11" t="n"/>
      <c r="T27" s="11" t="inlineStr">
        <is>
          <t>Tier 2 (varredura TomTom 2026-08-29, PR #185). Qualificacao: afiliado oficial.</t>
        </is>
      </c>
    </row>
    <row r="28">
      <c r="A28" s="25">
        <f>IF($B28="","",ROW()-1)</f>
        <v/>
      </c>
      <c r="B28" s="27" t="inlineStr">
        <is>
          <t>CrossFit Saga</t>
        </is>
      </c>
      <c r="C28" s="27" t="inlineStr">
        <is>
          <t>São Paulo - Vila Mariana</t>
        </is>
      </c>
      <c r="D28" s="27" t="n"/>
      <c r="E28" s="27" t="inlineStr">
        <is>
          <t>+55 11 97349-2008</t>
        </is>
      </c>
      <c r="F28" s="28" t="n"/>
      <c r="G28" s="27" t="n"/>
      <c r="H28" s="27" t="n"/>
      <c r="I28" s="27" t="n"/>
      <c r="J28" s="27" t="n"/>
      <c r="K28" s="27" t="inlineStr">
        <is>
          <t>Grande SP</t>
        </is>
      </c>
      <c r="L28" s="25">
        <f>IF($B28="","",IF($F28="",Metodo!$C$30,IF(AND($F28&gt;=80,$F28&lt;=250),Metodo!$C$28,IF(OR(AND($F28&gt;=40,$F28&lt;=79),AND($F28&gt;=251,$F28&lt;=400)),Metodo!$C$29,Metodo!$C$30)))+IFERROR(INDEX(Metodo!$C$32:$C$35,MATCH($G28,Metodo!$B$32:$B$35,0)),0)+COUNTIF($H28:$J28,"Sim")*Metodo!$C$37+IFERROR(INDEX(Metodo!$C$39:$C$41,MATCH($K28,Metodo!$B$39:$B$41,0)),0))</f>
        <v/>
      </c>
      <c r="M28" s="25">
        <f>IF($L28="","",IF($L28&gt;=Metodo!$C$43,"A",IF($L28&gt;=Metodo!$C$44,"B","C")))</f>
        <v/>
      </c>
      <c r="N28" s="27" t="inlineStr">
        <is>
          <t>Nao contatado</t>
        </is>
      </c>
      <c r="O28" s="37" t="n"/>
      <c r="P28" s="28" t="n"/>
      <c r="Q28" s="27" t="inlineStr">
        <is>
          <t>Primeiro contato</t>
        </is>
      </c>
      <c r="R28" s="37" t="n"/>
      <c r="S28" s="27" t="n"/>
      <c r="T28" s="27" t="inlineStr">
        <is>
          <t>Tier 2 (varredura TomTom 2026-08-29, PR #185). Qualificacao: afiliado oficial.</t>
        </is>
      </c>
    </row>
    <row r="29">
      <c r="A29" s="25">
        <f>IF($B29="","",ROW()-1)</f>
        <v/>
      </c>
      <c r="B29" s="11" t="inlineStr">
        <is>
          <t>CrossFit Saurus</t>
        </is>
      </c>
      <c r="C29" s="11" t="inlineStr">
        <is>
          <t>São Paulo - Vila Guilherme</t>
        </is>
      </c>
      <c r="D29" s="11" t="n"/>
      <c r="E29" s="11" t="inlineStr">
        <is>
          <t>+55 11 98254-0787</t>
        </is>
      </c>
      <c r="F29" s="31" t="n"/>
      <c r="G29" s="11" t="n"/>
      <c r="H29" s="11" t="n"/>
      <c r="I29" s="11" t="n"/>
      <c r="J29" s="11" t="n"/>
      <c r="K29" s="11" t="inlineStr">
        <is>
          <t>Grande SP</t>
        </is>
      </c>
      <c r="L29" s="25">
        <f>IF($B29="","",IF($F29="",Metodo!$C$30,IF(AND($F29&gt;=80,$F29&lt;=250),Metodo!$C$28,IF(OR(AND($F29&gt;=40,$F29&lt;=79),AND($F29&gt;=251,$F29&lt;=400)),Metodo!$C$29,Metodo!$C$30)))+IFERROR(INDEX(Metodo!$C$32:$C$35,MATCH($G29,Metodo!$B$32:$B$35,0)),0)+COUNTIF($H29:$J29,"Sim")*Metodo!$C$37+IFERROR(INDEX(Metodo!$C$39:$C$41,MATCH($K29,Metodo!$B$39:$B$41,0)),0))</f>
        <v/>
      </c>
      <c r="M29" s="25">
        <f>IF($L29="","",IF($L29&gt;=Metodo!$C$43,"A",IF($L29&gt;=Metodo!$C$44,"B","C")))</f>
        <v/>
      </c>
      <c r="N29" s="11" t="inlineStr">
        <is>
          <t>Nao contatado</t>
        </is>
      </c>
      <c r="O29" s="38" t="n"/>
      <c r="P29" s="31" t="n"/>
      <c r="Q29" s="11" t="inlineStr">
        <is>
          <t>Primeiro contato</t>
        </is>
      </c>
      <c r="R29" s="38" t="n"/>
      <c r="S29" s="11" t="n"/>
      <c r="T29" s="11" t="inlineStr">
        <is>
          <t>Tier 2 (varredura TomTom 2026-08-29, PR #185). Qualificacao: afiliado oficial.</t>
        </is>
      </c>
    </row>
    <row r="30">
      <c r="A30" s="25">
        <f>IF($B30="","",ROW()-1)</f>
        <v/>
      </c>
      <c r="B30" s="27" t="inlineStr">
        <is>
          <t>CrossFit São Francisco</t>
        </is>
      </c>
      <c r="C30" s="27" t="inlineStr">
        <is>
          <t>São Paulo - Jaguaré</t>
        </is>
      </c>
      <c r="D30" s="27" t="n"/>
      <c r="E30" s="27" t="inlineStr">
        <is>
          <t>+55 11 97306-6942</t>
        </is>
      </c>
      <c r="F30" s="28" t="n"/>
      <c r="G30" s="27" t="n"/>
      <c r="H30" s="27" t="n"/>
      <c r="I30" s="27" t="n"/>
      <c r="J30" s="27" t="n"/>
      <c r="K30" s="27" t="inlineStr">
        <is>
          <t>Grande SP</t>
        </is>
      </c>
      <c r="L30" s="25">
        <f>IF($B30="","",IF($F30="",Metodo!$C$30,IF(AND($F30&gt;=80,$F30&lt;=250),Metodo!$C$28,IF(OR(AND($F30&gt;=40,$F30&lt;=79),AND($F30&gt;=251,$F30&lt;=400)),Metodo!$C$29,Metodo!$C$30)))+IFERROR(INDEX(Metodo!$C$32:$C$35,MATCH($G30,Metodo!$B$32:$B$35,0)),0)+COUNTIF($H30:$J30,"Sim")*Metodo!$C$37+IFERROR(INDEX(Metodo!$C$39:$C$41,MATCH($K30,Metodo!$B$39:$B$41,0)),0))</f>
        <v/>
      </c>
      <c r="M30" s="25">
        <f>IF($L30="","",IF($L30&gt;=Metodo!$C$43,"A",IF($L30&gt;=Metodo!$C$44,"B","C")))</f>
        <v/>
      </c>
      <c r="N30" s="27" t="inlineStr">
        <is>
          <t>Nao contatado</t>
        </is>
      </c>
      <c r="O30" s="37" t="n"/>
      <c r="P30" s="28" t="n"/>
      <c r="Q30" s="27" t="inlineStr">
        <is>
          <t>Primeiro contato</t>
        </is>
      </c>
      <c r="R30" s="37" t="n"/>
      <c r="S30" s="27" t="n"/>
      <c r="T30" s="27" t="inlineStr">
        <is>
          <t>Tier 2 (varredura TomTom 2026-08-29, PR #185). Qualificacao: afiliado oficial.</t>
        </is>
      </c>
    </row>
    <row r="31">
      <c r="A31" s="25">
        <f>IF($B31="","",ROW()-1)</f>
        <v/>
      </c>
      <c r="B31" s="11" t="inlineStr">
        <is>
          <t>CrossFit Tupis</t>
        </is>
      </c>
      <c r="C31" s="11" t="inlineStr">
        <is>
          <t>São Paulo - Lapa</t>
        </is>
      </c>
      <c r="D31" s="11" t="n"/>
      <c r="E31" s="11" t="inlineStr">
        <is>
          <t>+55 11 3641-8649</t>
        </is>
      </c>
      <c r="F31" s="31" t="n"/>
      <c r="G31" s="11" t="n"/>
      <c r="H31" s="11" t="n"/>
      <c r="I31" s="11" t="n"/>
      <c r="J31" s="11" t="n"/>
      <c r="K31" s="11" t="inlineStr">
        <is>
          <t>Grande SP</t>
        </is>
      </c>
      <c r="L31" s="25">
        <f>IF($B31="","",IF($F31="",Metodo!$C$30,IF(AND($F31&gt;=80,$F31&lt;=250),Metodo!$C$28,IF(OR(AND($F31&gt;=40,$F31&lt;=79),AND($F31&gt;=251,$F31&lt;=400)),Metodo!$C$29,Metodo!$C$30)))+IFERROR(INDEX(Metodo!$C$32:$C$35,MATCH($G31,Metodo!$B$32:$B$35,0)),0)+COUNTIF($H31:$J31,"Sim")*Metodo!$C$37+IFERROR(INDEX(Metodo!$C$39:$C$41,MATCH($K31,Metodo!$B$39:$B$41,0)),0))</f>
        <v/>
      </c>
      <c r="M31" s="25">
        <f>IF($L31="","",IF($L31&gt;=Metodo!$C$43,"A",IF($L31&gt;=Metodo!$C$44,"B","C")))</f>
        <v/>
      </c>
      <c r="N31" s="11" t="inlineStr">
        <is>
          <t>Nao contatado</t>
        </is>
      </c>
      <c r="O31" s="38" t="n"/>
      <c r="P31" s="31" t="n"/>
      <c r="Q31" s="11" t="inlineStr">
        <is>
          <t>Primeiro contato</t>
        </is>
      </c>
      <c r="R31" s="38" t="n"/>
      <c r="S31" s="11" t="n"/>
      <c r="T31" s="11" t="inlineStr">
        <is>
          <t>Tier 2 (varredura TomTom 2026-08-29, PR #185). Qualificacao: afiliado oficial.</t>
        </is>
      </c>
    </row>
    <row r="32">
      <c r="A32" s="25">
        <f>IF($B32="","",ROW()-1)</f>
        <v/>
      </c>
      <c r="B32" s="27" t="inlineStr">
        <is>
          <t>CrossFit Vila Carrão</t>
        </is>
      </c>
      <c r="C32" s="27" t="inlineStr">
        <is>
          <t>São Paulo - Vila Formosa</t>
        </is>
      </c>
      <c r="D32" s="27" t="n"/>
      <c r="E32" s="27" t="inlineStr">
        <is>
          <t>+55 11 99162-2452</t>
        </is>
      </c>
      <c r="F32" s="28" t="n"/>
      <c r="G32" s="27" t="n"/>
      <c r="H32" s="27" t="n"/>
      <c r="I32" s="27" t="n"/>
      <c r="J32" s="27" t="n"/>
      <c r="K32" s="27" t="inlineStr">
        <is>
          <t>Grande SP</t>
        </is>
      </c>
      <c r="L32" s="25">
        <f>IF($B32="","",IF($F32="",Metodo!$C$30,IF(AND($F32&gt;=80,$F32&lt;=250),Metodo!$C$28,IF(OR(AND($F32&gt;=40,$F32&lt;=79),AND($F32&gt;=251,$F32&lt;=400)),Metodo!$C$29,Metodo!$C$30)))+IFERROR(INDEX(Metodo!$C$32:$C$35,MATCH($G32,Metodo!$B$32:$B$35,0)),0)+COUNTIF($H32:$J32,"Sim")*Metodo!$C$37+IFERROR(INDEX(Metodo!$C$39:$C$41,MATCH($K32,Metodo!$B$39:$B$41,0)),0))</f>
        <v/>
      </c>
      <c r="M32" s="25">
        <f>IF($L32="","",IF($L32&gt;=Metodo!$C$43,"A",IF($L32&gt;=Metodo!$C$44,"B","C")))</f>
        <v/>
      </c>
      <c r="N32" s="27" t="inlineStr">
        <is>
          <t>Nao contatado</t>
        </is>
      </c>
      <c r="O32" s="37" t="n"/>
      <c r="P32" s="28" t="n"/>
      <c r="Q32" s="27" t="inlineStr">
        <is>
          <t>Primeiro contato</t>
        </is>
      </c>
      <c r="R32" s="37" t="n"/>
      <c r="S32" s="27" t="n"/>
      <c r="T32" s="27" t="inlineStr">
        <is>
          <t>Tier 2 (varredura TomTom 2026-08-29, PR #185). Qualificacao: afiliado oficial.</t>
        </is>
      </c>
    </row>
    <row r="33">
      <c r="A33" s="25">
        <f>IF($B33="","",ROW()-1)</f>
        <v/>
      </c>
      <c r="B33" s="11" t="inlineStr">
        <is>
          <t>CrossFit Vila Mascote</t>
        </is>
      </c>
      <c r="C33" s="11" t="inlineStr">
        <is>
          <t>São Paulo - Jabaquara</t>
        </is>
      </c>
      <c r="D33" s="11" t="n"/>
      <c r="E33" s="11" t="inlineStr">
        <is>
          <t>+55 11 94988-8889</t>
        </is>
      </c>
      <c r="F33" s="31" t="n"/>
      <c r="G33" s="11" t="n"/>
      <c r="H33" s="11" t="n"/>
      <c r="I33" s="11" t="n"/>
      <c r="J33" s="11" t="n"/>
      <c r="K33" s="11" t="inlineStr">
        <is>
          <t>Grande SP</t>
        </is>
      </c>
      <c r="L33" s="25">
        <f>IF($B33="","",IF($F33="",Metodo!$C$30,IF(AND($F33&gt;=80,$F33&lt;=250),Metodo!$C$28,IF(OR(AND($F33&gt;=40,$F33&lt;=79),AND($F33&gt;=251,$F33&lt;=400)),Metodo!$C$29,Metodo!$C$30)))+IFERROR(INDEX(Metodo!$C$32:$C$35,MATCH($G33,Metodo!$B$32:$B$35,0)),0)+COUNTIF($H33:$J33,"Sim")*Metodo!$C$37+IFERROR(INDEX(Metodo!$C$39:$C$41,MATCH($K33,Metodo!$B$39:$B$41,0)),0))</f>
        <v/>
      </c>
      <c r="M33" s="25">
        <f>IF($L33="","",IF($L33&gt;=Metodo!$C$43,"A",IF($L33&gt;=Metodo!$C$44,"B","C")))</f>
        <v/>
      </c>
      <c r="N33" s="11" t="inlineStr">
        <is>
          <t>Nao contatado</t>
        </is>
      </c>
      <c r="O33" s="38" t="n"/>
      <c r="P33" s="31" t="n"/>
      <c r="Q33" s="11" t="inlineStr">
        <is>
          <t>Primeiro contato</t>
        </is>
      </c>
      <c r="R33" s="38" t="n"/>
      <c r="S33" s="11" t="n"/>
      <c r="T33" s="11" t="inlineStr">
        <is>
          <t>Tier 2 (varredura TomTom 2026-08-29, PR #185). Qualificacao: afiliado oficial.</t>
        </is>
      </c>
    </row>
    <row r="34">
      <c r="A34" s="25">
        <f>IF($B34="","",ROW()-1)</f>
        <v/>
      </c>
      <c r="B34" s="27" t="inlineStr">
        <is>
          <t>CrossFit Ximbó</t>
        </is>
      </c>
      <c r="C34" s="27" t="inlineStr">
        <is>
          <t>São Paulo - Liberdade</t>
        </is>
      </c>
      <c r="D34" s="27" t="n"/>
      <c r="E34" s="27" t="inlineStr">
        <is>
          <t>+55 11 94233-0687</t>
        </is>
      </c>
      <c r="F34" s="28" t="n"/>
      <c r="G34" s="27" t="n"/>
      <c r="H34" s="27" t="n"/>
      <c r="I34" s="27" t="n"/>
      <c r="J34" s="27" t="n"/>
      <c r="K34" s="27" t="inlineStr">
        <is>
          <t>Grande SP</t>
        </is>
      </c>
      <c r="L34" s="25">
        <f>IF($B34="","",IF($F34="",Metodo!$C$30,IF(AND($F34&gt;=80,$F34&lt;=250),Metodo!$C$28,IF(OR(AND($F34&gt;=40,$F34&lt;=79),AND($F34&gt;=251,$F34&lt;=400)),Metodo!$C$29,Metodo!$C$30)))+IFERROR(INDEX(Metodo!$C$32:$C$35,MATCH($G34,Metodo!$B$32:$B$35,0)),0)+COUNTIF($H34:$J34,"Sim")*Metodo!$C$37+IFERROR(INDEX(Metodo!$C$39:$C$41,MATCH($K34,Metodo!$B$39:$B$41,0)),0))</f>
        <v/>
      </c>
      <c r="M34" s="25">
        <f>IF($L34="","",IF($L34&gt;=Metodo!$C$43,"A",IF($L34&gt;=Metodo!$C$44,"B","C")))</f>
        <v/>
      </c>
      <c r="N34" s="27" t="inlineStr">
        <is>
          <t>Nao contatado</t>
        </is>
      </c>
      <c r="O34" s="37" t="n"/>
      <c r="P34" s="28" t="n"/>
      <c r="Q34" s="27" t="inlineStr">
        <is>
          <t>Primeiro contato</t>
        </is>
      </c>
      <c r="R34" s="37" t="n"/>
      <c r="S34" s="27" t="n"/>
      <c r="T34" s="27" t="inlineStr">
        <is>
          <t>Tier 2 (varredura TomTom 2026-08-29, PR #185). Qualificacao: afiliado oficial.</t>
        </is>
      </c>
    </row>
    <row r="35">
      <c r="A35" s="25">
        <f>IF($B35="","",ROW()-1)</f>
        <v/>
      </c>
      <c r="B35" s="11" t="inlineStr">
        <is>
          <t>KAZA CrossFit</t>
        </is>
      </c>
      <c r="C35" s="11" t="inlineStr">
        <is>
          <t>São Paulo - Jardim Paulista</t>
        </is>
      </c>
      <c r="D35" s="11" t="n"/>
      <c r="E35" s="11" t="inlineStr">
        <is>
          <t>+55 11 99783-6688</t>
        </is>
      </c>
      <c r="F35" s="31" t="n"/>
      <c r="G35" s="11" t="n"/>
      <c r="H35" s="11" t="n"/>
      <c r="I35" s="11" t="n"/>
      <c r="J35" s="11" t="n"/>
      <c r="K35" s="11" t="inlineStr">
        <is>
          <t>Grande SP</t>
        </is>
      </c>
      <c r="L35" s="25">
        <f>IF($B35="","",IF($F35="",Metodo!$C$30,IF(AND($F35&gt;=80,$F35&lt;=250),Metodo!$C$28,IF(OR(AND($F35&gt;=40,$F35&lt;=79),AND($F35&gt;=251,$F35&lt;=400)),Metodo!$C$29,Metodo!$C$30)))+IFERROR(INDEX(Metodo!$C$32:$C$35,MATCH($G35,Metodo!$B$32:$B$35,0)),0)+COUNTIF($H35:$J35,"Sim")*Metodo!$C$37+IFERROR(INDEX(Metodo!$C$39:$C$41,MATCH($K35,Metodo!$B$39:$B$41,0)),0))</f>
        <v/>
      </c>
      <c r="M35" s="25">
        <f>IF($L35="","",IF($L35&gt;=Metodo!$C$43,"A",IF($L35&gt;=Metodo!$C$44,"B","C")))</f>
        <v/>
      </c>
      <c r="N35" s="11" t="inlineStr">
        <is>
          <t>Nao contatado</t>
        </is>
      </c>
      <c r="O35" s="38" t="n"/>
      <c r="P35" s="31" t="n"/>
      <c r="Q35" s="11" t="inlineStr">
        <is>
          <t>Primeiro contato</t>
        </is>
      </c>
      <c r="R35" s="38" t="n"/>
      <c r="S35" s="11" t="n"/>
      <c r="T35" s="11" t="inlineStr">
        <is>
          <t>Tier 2 (varredura TomTom 2026-08-29, PR #185). Qualificacao: afiliado oficial.</t>
        </is>
      </c>
    </row>
    <row r="36">
      <c r="A36" s="25">
        <f>IF($B36="","",ROW()-1)</f>
        <v/>
      </c>
      <c r="B36" s="27" t="inlineStr">
        <is>
          <t>Kranio CrossFit</t>
        </is>
      </c>
      <c r="C36" s="27" t="inlineStr">
        <is>
          <t>São Paulo - Cidade Ademar</t>
        </is>
      </c>
      <c r="D36" s="27" t="n"/>
      <c r="E36" s="27" t="inlineStr">
        <is>
          <t>+55 11 96305-4358</t>
        </is>
      </c>
      <c r="F36" s="28" t="n"/>
      <c r="G36" s="27" t="n"/>
      <c r="H36" s="27" t="n"/>
      <c r="I36" s="27" t="n"/>
      <c r="J36" s="27" t="n"/>
      <c r="K36" s="27" t="inlineStr">
        <is>
          <t>Grande SP</t>
        </is>
      </c>
      <c r="L36" s="25">
        <f>IF($B36="","",IF($F36="",Metodo!$C$30,IF(AND($F36&gt;=80,$F36&lt;=250),Metodo!$C$28,IF(OR(AND($F36&gt;=40,$F36&lt;=79),AND($F36&gt;=251,$F36&lt;=400)),Metodo!$C$29,Metodo!$C$30)))+IFERROR(INDEX(Metodo!$C$32:$C$35,MATCH($G36,Metodo!$B$32:$B$35,0)),0)+COUNTIF($H36:$J36,"Sim")*Metodo!$C$37+IFERROR(INDEX(Metodo!$C$39:$C$41,MATCH($K36,Metodo!$B$39:$B$41,0)),0))</f>
        <v/>
      </c>
      <c r="M36" s="25">
        <f>IF($L36="","",IF($L36&gt;=Metodo!$C$43,"A",IF($L36&gt;=Metodo!$C$44,"B","C")))</f>
        <v/>
      </c>
      <c r="N36" s="27" t="inlineStr">
        <is>
          <t>Nao contatado</t>
        </is>
      </c>
      <c r="O36" s="37" t="n"/>
      <c r="P36" s="28" t="n"/>
      <c r="Q36" s="27" t="inlineStr">
        <is>
          <t>Primeiro contato</t>
        </is>
      </c>
      <c r="R36" s="37" t="n"/>
      <c r="S36" s="27" t="n"/>
      <c r="T36" s="27" t="inlineStr">
        <is>
          <t>Tier 2 (varredura TomTom 2026-08-29, PR #185). Qualificacao: afiliado oficial.</t>
        </is>
      </c>
    </row>
    <row r="37">
      <c r="A37" s="25">
        <f>IF($B37="","",ROW()-1)</f>
        <v/>
      </c>
      <c r="B37" s="11" t="inlineStr">
        <is>
          <t>Maddock CrossFit</t>
        </is>
      </c>
      <c r="C37" s="11" t="inlineStr">
        <is>
          <t>São Paulo - Santo Amaro</t>
        </is>
      </c>
      <c r="D37" s="11" t="n"/>
      <c r="E37" s="11" t="inlineStr">
        <is>
          <t>+55 11 97059-4689</t>
        </is>
      </c>
      <c r="F37" s="31" t="n"/>
      <c r="G37" s="11" t="n"/>
      <c r="H37" s="11" t="n"/>
      <c r="I37" s="11" t="n"/>
      <c r="J37" s="11" t="n"/>
      <c r="K37" s="11" t="inlineStr">
        <is>
          <t>Grande SP</t>
        </is>
      </c>
      <c r="L37" s="25">
        <f>IF($B37="","",IF($F37="",Metodo!$C$30,IF(AND($F37&gt;=80,$F37&lt;=250),Metodo!$C$28,IF(OR(AND($F37&gt;=40,$F37&lt;=79),AND($F37&gt;=251,$F37&lt;=400)),Metodo!$C$29,Metodo!$C$30)))+IFERROR(INDEX(Metodo!$C$32:$C$35,MATCH($G37,Metodo!$B$32:$B$35,0)),0)+COUNTIF($H37:$J37,"Sim")*Metodo!$C$37+IFERROR(INDEX(Metodo!$C$39:$C$41,MATCH($K37,Metodo!$B$39:$B$41,0)),0))</f>
        <v/>
      </c>
      <c r="M37" s="25">
        <f>IF($L37="","",IF($L37&gt;=Metodo!$C$43,"A",IF($L37&gt;=Metodo!$C$44,"B","C")))</f>
        <v/>
      </c>
      <c r="N37" s="11" t="inlineStr">
        <is>
          <t>Nao contatado</t>
        </is>
      </c>
      <c r="O37" s="38" t="n"/>
      <c r="P37" s="31" t="n"/>
      <c r="Q37" s="11" t="inlineStr">
        <is>
          <t>Primeiro contato</t>
        </is>
      </c>
      <c r="R37" s="38" t="n"/>
      <c r="S37" s="11" t="n"/>
      <c r="T37" s="11" t="inlineStr">
        <is>
          <t>Tier 2 (varredura TomTom 2026-08-29, PR #185). Qualificacao: afiliado oficial.</t>
        </is>
      </c>
    </row>
    <row r="38">
      <c r="A38" s="25">
        <f>IF($B38="","",ROW()-1)</f>
        <v/>
      </c>
      <c r="B38" s="27" t="inlineStr">
        <is>
          <t>Made4 CrossFit</t>
        </is>
      </c>
      <c r="C38" s="27" t="inlineStr">
        <is>
          <t>São Paulo - Vila Andrade</t>
        </is>
      </c>
      <c r="D38" s="27" t="n"/>
      <c r="E38" s="27" t="inlineStr">
        <is>
          <t>+55 11 98359-9220</t>
        </is>
      </c>
      <c r="F38" s="28" t="n"/>
      <c r="G38" s="27" t="n"/>
      <c r="H38" s="27" t="n"/>
      <c r="I38" s="27" t="n"/>
      <c r="J38" s="27" t="n"/>
      <c r="K38" s="27" t="inlineStr">
        <is>
          <t>Grande SP</t>
        </is>
      </c>
      <c r="L38" s="25">
        <f>IF($B38="","",IF($F38="",Metodo!$C$30,IF(AND($F38&gt;=80,$F38&lt;=250),Metodo!$C$28,IF(OR(AND($F38&gt;=40,$F38&lt;=79),AND($F38&gt;=251,$F38&lt;=400)),Metodo!$C$29,Metodo!$C$30)))+IFERROR(INDEX(Metodo!$C$32:$C$35,MATCH($G38,Metodo!$B$32:$B$35,0)),0)+COUNTIF($H38:$J38,"Sim")*Metodo!$C$37+IFERROR(INDEX(Metodo!$C$39:$C$41,MATCH($K38,Metodo!$B$39:$B$41,0)),0))</f>
        <v/>
      </c>
      <c r="M38" s="25">
        <f>IF($L38="","",IF($L38&gt;=Metodo!$C$43,"A",IF($L38&gt;=Metodo!$C$44,"B","C")))</f>
        <v/>
      </c>
      <c r="N38" s="27" t="inlineStr">
        <is>
          <t>Nao contatado</t>
        </is>
      </c>
      <c r="O38" s="37" t="n"/>
      <c r="P38" s="28" t="n"/>
      <c r="Q38" s="27" t="inlineStr">
        <is>
          <t>Primeiro contato</t>
        </is>
      </c>
      <c r="R38" s="37" t="n"/>
      <c r="S38" s="27" t="n"/>
      <c r="T38" s="27" t="inlineStr">
        <is>
          <t>Tier 2 (varredura TomTom 2026-08-29, PR #185). Qualificacao: afiliado oficial.</t>
        </is>
      </c>
    </row>
    <row r="39">
      <c r="A39" s="25">
        <f>IF($B39="","",ROW()-1)</f>
        <v/>
      </c>
      <c r="B39" s="11" t="inlineStr">
        <is>
          <t>Mega B4thor CrossFit</t>
        </is>
      </c>
      <c r="C39" s="11" t="inlineStr">
        <is>
          <t>São Paulo - Rio Pequeno</t>
        </is>
      </c>
      <c r="D39" s="11" t="n"/>
      <c r="E39" s="11" t="inlineStr">
        <is>
          <t>+55 11 97306-6942</t>
        </is>
      </c>
      <c r="F39" s="31" t="n"/>
      <c r="G39" s="11" t="n"/>
      <c r="H39" s="11" t="n"/>
      <c r="I39" s="11" t="n"/>
      <c r="J39" s="11" t="n"/>
      <c r="K39" s="11" t="inlineStr">
        <is>
          <t>Grande SP</t>
        </is>
      </c>
      <c r="L39" s="25">
        <f>IF($B39="","",IF($F39="",Metodo!$C$30,IF(AND($F39&gt;=80,$F39&lt;=250),Metodo!$C$28,IF(OR(AND($F39&gt;=40,$F39&lt;=79),AND($F39&gt;=251,$F39&lt;=400)),Metodo!$C$29,Metodo!$C$30)))+IFERROR(INDEX(Metodo!$C$32:$C$35,MATCH($G39,Metodo!$B$32:$B$35,0)),0)+COUNTIF($H39:$J39,"Sim")*Metodo!$C$37+IFERROR(INDEX(Metodo!$C$39:$C$41,MATCH($K39,Metodo!$B$39:$B$41,0)),0))</f>
        <v/>
      </c>
      <c r="M39" s="25">
        <f>IF($L39="","",IF($L39&gt;=Metodo!$C$43,"A",IF($L39&gt;=Metodo!$C$44,"B","C")))</f>
        <v/>
      </c>
      <c r="N39" s="11" t="inlineStr">
        <is>
          <t>Nao contatado</t>
        </is>
      </c>
      <c r="O39" s="38" t="n"/>
      <c r="P39" s="31" t="n"/>
      <c r="Q39" s="11" t="inlineStr">
        <is>
          <t>Primeiro contato</t>
        </is>
      </c>
      <c r="R39" s="38" t="n"/>
      <c r="S39" s="11" t="n"/>
      <c r="T39" s="11" t="inlineStr">
        <is>
          <t>Tier 2 (varredura TomTom 2026-08-29, PR #185). Qualificacao: afiliado oficial.</t>
        </is>
      </c>
    </row>
    <row r="40">
      <c r="A40" s="25">
        <f>IF($B40="","",ROW()-1)</f>
        <v/>
      </c>
      <c r="B40" s="27" t="inlineStr">
        <is>
          <t>Metalrack CrossFit</t>
        </is>
      </c>
      <c r="C40" s="27" t="inlineStr">
        <is>
          <t>São Paulo - Tatuapé</t>
        </is>
      </c>
      <c r="D40" s="27" t="n"/>
      <c r="E40" s="27" t="inlineStr">
        <is>
          <t>+55 11 94049-9371</t>
        </is>
      </c>
      <c r="F40" s="28" t="n"/>
      <c r="G40" s="27" t="n"/>
      <c r="H40" s="27" t="n"/>
      <c r="I40" s="27" t="n"/>
      <c r="J40" s="27" t="n"/>
      <c r="K40" s="27" t="inlineStr">
        <is>
          <t>Grande SP</t>
        </is>
      </c>
      <c r="L40" s="25">
        <f>IF($B40="","",IF($F40="",Metodo!$C$30,IF(AND($F40&gt;=80,$F40&lt;=250),Metodo!$C$28,IF(OR(AND($F40&gt;=40,$F40&lt;=79),AND($F40&gt;=251,$F40&lt;=400)),Metodo!$C$29,Metodo!$C$30)))+IFERROR(INDEX(Metodo!$C$32:$C$35,MATCH($G40,Metodo!$B$32:$B$35,0)),0)+COUNTIF($H40:$J40,"Sim")*Metodo!$C$37+IFERROR(INDEX(Metodo!$C$39:$C$41,MATCH($K40,Metodo!$B$39:$B$41,0)),0))</f>
        <v/>
      </c>
      <c r="M40" s="25">
        <f>IF($L40="","",IF($L40&gt;=Metodo!$C$43,"A",IF($L40&gt;=Metodo!$C$44,"B","C")))</f>
        <v/>
      </c>
      <c r="N40" s="27" t="inlineStr">
        <is>
          <t>Nao contatado</t>
        </is>
      </c>
      <c r="O40" s="37" t="n"/>
      <c r="P40" s="28" t="n"/>
      <c r="Q40" s="27" t="inlineStr">
        <is>
          <t>Primeiro contato</t>
        </is>
      </c>
      <c r="R40" s="37" t="n"/>
      <c r="S40" s="27" t="n"/>
      <c r="T40" s="27" t="inlineStr">
        <is>
          <t>Tier 2 (varredura TomTom 2026-08-29, PR #185). Qualificacao: afiliado oficial.</t>
        </is>
      </c>
    </row>
    <row r="41">
      <c r="A41" s="25">
        <f>IF($B41="","",ROW()-1)</f>
        <v/>
      </c>
      <c r="B41" s="11" t="inlineStr">
        <is>
          <t>Morumbi CrossFit</t>
        </is>
      </c>
      <c r="C41" s="11" t="inlineStr">
        <is>
          <t>São Paulo - Vila Sônia</t>
        </is>
      </c>
      <c r="D41" s="11" t="n"/>
      <c r="E41" s="11" t="inlineStr">
        <is>
          <t>+55 11 3368-2787</t>
        </is>
      </c>
      <c r="F41" s="31" t="n"/>
      <c r="G41" s="11" t="n"/>
      <c r="H41" s="11" t="n"/>
      <c r="I41" s="11" t="n"/>
      <c r="J41" s="11" t="n"/>
      <c r="K41" s="11" t="inlineStr">
        <is>
          <t>Grande SP</t>
        </is>
      </c>
      <c r="L41" s="25">
        <f>IF($B41="","",IF($F41="",Metodo!$C$30,IF(AND($F41&gt;=80,$F41&lt;=250),Metodo!$C$28,IF(OR(AND($F41&gt;=40,$F41&lt;=79),AND($F41&gt;=251,$F41&lt;=400)),Metodo!$C$29,Metodo!$C$30)))+IFERROR(INDEX(Metodo!$C$32:$C$35,MATCH($G41,Metodo!$B$32:$B$35,0)),0)+COUNTIF($H41:$J41,"Sim")*Metodo!$C$37+IFERROR(INDEX(Metodo!$C$39:$C$41,MATCH($K41,Metodo!$B$39:$B$41,0)),0))</f>
        <v/>
      </c>
      <c r="M41" s="25">
        <f>IF($L41="","",IF($L41&gt;=Metodo!$C$43,"A",IF($L41&gt;=Metodo!$C$44,"B","C")))</f>
        <v/>
      </c>
      <c r="N41" s="11" t="inlineStr">
        <is>
          <t>Nao contatado</t>
        </is>
      </c>
      <c r="O41" s="38" t="n"/>
      <c r="P41" s="31" t="n"/>
      <c r="Q41" s="11" t="inlineStr">
        <is>
          <t>Primeiro contato</t>
        </is>
      </c>
      <c r="R41" s="38" t="n"/>
      <c r="S41" s="11" t="n"/>
      <c r="T41" s="11" t="inlineStr">
        <is>
          <t>Tier 2 (varredura TomTom 2026-08-29, PR #185). Qualificacao: afiliado oficial.</t>
        </is>
      </c>
    </row>
    <row r="42">
      <c r="A42" s="25">
        <f>IF($B42="","",ROW()-1)</f>
        <v/>
      </c>
      <c r="B42" s="27" t="inlineStr">
        <is>
          <t>Urus CrossFit</t>
        </is>
      </c>
      <c r="C42" s="27" t="inlineStr">
        <is>
          <t>São Paulo - Penha</t>
        </is>
      </c>
      <c r="D42" s="27" t="n"/>
      <c r="E42" s="27" t="inlineStr">
        <is>
          <t>+55 11 94520-8330</t>
        </is>
      </c>
      <c r="F42" s="28" t="n"/>
      <c r="G42" s="27" t="n"/>
      <c r="H42" s="27" t="n"/>
      <c r="I42" s="27" t="n"/>
      <c r="J42" s="27" t="n"/>
      <c r="K42" s="27" t="inlineStr">
        <is>
          <t>Grande SP</t>
        </is>
      </c>
      <c r="L42" s="25">
        <f>IF($B42="","",IF($F42="",Metodo!$C$30,IF(AND($F42&gt;=80,$F42&lt;=250),Metodo!$C$28,IF(OR(AND($F42&gt;=40,$F42&lt;=79),AND($F42&gt;=251,$F42&lt;=400)),Metodo!$C$29,Metodo!$C$30)))+IFERROR(INDEX(Metodo!$C$32:$C$35,MATCH($G42,Metodo!$B$32:$B$35,0)),0)+COUNTIF($H42:$J42,"Sim")*Metodo!$C$37+IFERROR(INDEX(Metodo!$C$39:$C$41,MATCH($K42,Metodo!$B$39:$B$41,0)),0))</f>
        <v/>
      </c>
      <c r="M42" s="25">
        <f>IF($L42="","",IF($L42&gt;=Metodo!$C$43,"A",IF($L42&gt;=Metodo!$C$44,"B","C")))</f>
        <v/>
      </c>
      <c r="N42" s="27" t="inlineStr">
        <is>
          <t>Nao contatado</t>
        </is>
      </c>
      <c r="O42" s="37" t="n"/>
      <c r="P42" s="28" t="n"/>
      <c r="Q42" s="27" t="inlineStr">
        <is>
          <t>Primeiro contato</t>
        </is>
      </c>
      <c r="R42" s="37" t="n"/>
      <c r="S42" s="27" t="n"/>
      <c r="T42" s="27" t="inlineStr">
        <is>
          <t>Tier 2 (varredura TomTom 2026-08-29, PR #185). Qualificacao: afiliado oficial.</t>
        </is>
      </c>
    </row>
    <row r="43">
      <c r="A43" s="25">
        <f>IF($B43="","",ROW()-1)</f>
        <v/>
      </c>
      <c r="B43" s="11" t="inlineStr">
        <is>
          <t>Taboão da Serra CrossFit</t>
        </is>
      </c>
      <c r="C43" s="11" t="inlineStr">
        <is>
          <t>Taboão da Serra - Rod. Régis Bittencourt</t>
        </is>
      </c>
      <c r="D43" s="11" t="n"/>
      <c r="E43" s="11" t="inlineStr">
        <is>
          <t>+55 11 4701-0023</t>
        </is>
      </c>
      <c r="F43" s="31" t="n"/>
      <c r="G43" s="11" t="n"/>
      <c r="H43" s="11" t="n"/>
      <c r="I43" s="11" t="n"/>
      <c r="J43" s="11" t="n"/>
      <c r="K43" s="11" t="inlineStr">
        <is>
          <t>Grande SP</t>
        </is>
      </c>
      <c r="L43" s="25">
        <f>IF($B43="","",IF($F43="",Metodo!$C$30,IF(AND($F43&gt;=80,$F43&lt;=250),Metodo!$C$28,IF(OR(AND($F43&gt;=40,$F43&lt;=79),AND($F43&gt;=251,$F43&lt;=400)),Metodo!$C$29,Metodo!$C$30)))+IFERROR(INDEX(Metodo!$C$32:$C$35,MATCH($G43,Metodo!$B$32:$B$35,0)),0)+COUNTIF($H43:$J43,"Sim")*Metodo!$C$37+IFERROR(INDEX(Metodo!$C$39:$C$41,MATCH($K43,Metodo!$B$39:$B$41,0)),0))</f>
        <v/>
      </c>
      <c r="M43" s="25">
        <f>IF($L43="","",IF($L43&gt;=Metodo!$C$43,"A",IF($L43&gt;=Metodo!$C$44,"B","C")))</f>
        <v/>
      </c>
      <c r="N43" s="11" t="inlineStr">
        <is>
          <t>Nao contatado</t>
        </is>
      </c>
      <c r="O43" s="38" t="n"/>
      <c r="P43" s="31" t="n"/>
      <c r="Q43" s="11" t="inlineStr">
        <is>
          <t>Primeiro contato</t>
        </is>
      </c>
      <c r="R43" s="38" t="n"/>
      <c r="S43" s="11" t="n"/>
      <c r="T43" s="11" t="inlineStr">
        <is>
          <t>Tier 2 (varredura TomTom 2026-08-29, PR #185). Qualificacao: afiliado oficial.</t>
        </is>
      </c>
    </row>
    <row r="44">
      <c r="A44" s="25">
        <f>IF($B44="","",ROW()-1)</f>
        <v/>
      </c>
      <c r="B44" s="27" t="inlineStr">
        <is>
          <t>Crossfit Betha Strong</t>
        </is>
      </c>
      <c r="C44" s="27" t="inlineStr">
        <is>
          <t>Barueri - Jd dos Camargos</t>
        </is>
      </c>
      <c r="D44" s="27" t="n"/>
      <c r="E44" s="27" t="inlineStr">
        <is>
          <t>+55 11 93350-7636</t>
        </is>
      </c>
      <c r="F44" s="28" t="n"/>
      <c r="G44" s="27" t="n"/>
      <c r="H44" s="27" t="n"/>
      <c r="I44" s="27" t="n"/>
      <c r="J44" s="27" t="n"/>
      <c r="K44" s="27" t="inlineStr">
        <is>
          <t>Grande SP</t>
        </is>
      </c>
      <c r="L44" s="25">
        <f>IF($B44="","",IF($F44="",Metodo!$C$30,IF(AND($F44&gt;=80,$F44&lt;=250),Metodo!$C$28,IF(OR(AND($F44&gt;=40,$F44&lt;=79),AND($F44&gt;=251,$F44&lt;=400)),Metodo!$C$29,Metodo!$C$30)))+IFERROR(INDEX(Metodo!$C$32:$C$35,MATCH($G44,Metodo!$B$32:$B$35,0)),0)+COUNTIF($H44:$J44,"Sim")*Metodo!$C$37+IFERROR(INDEX(Metodo!$C$39:$C$41,MATCH($K44,Metodo!$B$39:$B$41,0)),0))</f>
        <v/>
      </c>
      <c r="M44" s="25">
        <f>IF($L44="","",IF($L44&gt;=Metodo!$C$43,"A",IF($L44&gt;=Metodo!$C$44,"B","C")))</f>
        <v/>
      </c>
      <c r="N44" s="27" t="inlineStr">
        <is>
          <t>Nao contatado</t>
        </is>
      </c>
      <c r="O44" s="37" t="n"/>
      <c r="P44" s="28" t="n"/>
      <c r="Q44" s="27" t="inlineStr">
        <is>
          <t>Primeiro contato</t>
        </is>
      </c>
      <c r="R44" s="37" t="n"/>
      <c r="S44" s="27" t="n"/>
      <c r="T44" s="27" t="inlineStr">
        <is>
          <t>Tier 3 (varredura TomTom 2026-08-29, PR #185). Qualificacao: site próprio.</t>
        </is>
      </c>
    </row>
    <row r="45">
      <c r="A45" s="25">
        <f>IF($B45="","",ROW()-1)</f>
        <v/>
      </c>
      <c r="B45" s="11" t="inlineStr">
        <is>
          <t>Crossfit Puaimana</t>
        </is>
      </c>
      <c r="C45" s="11" t="inlineStr">
        <is>
          <t>Barueri - Jd dos Camargos</t>
        </is>
      </c>
      <c r="D45" s="11" t="n"/>
      <c r="E45" s="11" t="inlineStr">
        <is>
          <t>+55 11 4198-2143</t>
        </is>
      </c>
      <c r="F45" s="31" t="n"/>
      <c r="G45" s="11" t="n"/>
      <c r="H45" s="11" t="n"/>
      <c r="I45" s="11" t="n"/>
      <c r="J45" s="11" t="n"/>
      <c r="K45" s="11" t="inlineStr">
        <is>
          <t>Grande SP</t>
        </is>
      </c>
      <c r="L45" s="25">
        <f>IF($B45="","",IF($F45="",Metodo!$C$30,IF(AND($F45&gt;=80,$F45&lt;=250),Metodo!$C$28,IF(OR(AND($F45&gt;=40,$F45&lt;=79),AND($F45&gt;=251,$F45&lt;=400)),Metodo!$C$29,Metodo!$C$30)))+IFERROR(INDEX(Metodo!$C$32:$C$35,MATCH($G45,Metodo!$B$32:$B$35,0)),0)+COUNTIF($H45:$J45,"Sim")*Metodo!$C$37+IFERROR(INDEX(Metodo!$C$39:$C$41,MATCH($K45,Metodo!$B$39:$B$41,0)),0))</f>
        <v/>
      </c>
      <c r="M45" s="25">
        <f>IF($L45="","",IF($L45&gt;=Metodo!$C$43,"A",IF($L45&gt;=Metodo!$C$44,"B","C")))</f>
        <v/>
      </c>
      <c r="N45" s="11" t="inlineStr">
        <is>
          <t>Nao contatado</t>
        </is>
      </c>
      <c r="O45" s="38" t="n"/>
      <c r="P45" s="31" t="n"/>
      <c r="Q45" s="11" t="inlineStr">
        <is>
          <t>Primeiro contato</t>
        </is>
      </c>
      <c r="R45" s="38" t="n"/>
      <c r="S45" s="11" t="n"/>
      <c r="T45" s="11" t="inlineStr">
        <is>
          <t>Tier 3 (varredura TomTom 2026-08-29, PR #185). Qualificacao: site próprio.</t>
        </is>
      </c>
    </row>
    <row r="46">
      <c r="A46" s="25">
        <f>IF($B46="","",ROW()-1)</f>
        <v/>
      </c>
      <c r="B46" s="27" t="inlineStr">
        <is>
          <t>Templo CrossFit</t>
        </is>
      </c>
      <c r="C46" s="27" t="inlineStr">
        <is>
          <t>Barueri - Alphaville</t>
        </is>
      </c>
      <c r="D46" s="27" t="n"/>
      <c r="E46" s="27" t="inlineStr">
        <is>
          <t>+55 11 4688-0370</t>
        </is>
      </c>
      <c r="F46" s="28" t="n"/>
      <c r="G46" s="27" t="n"/>
      <c r="H46" s="27" t="n"/>
      <c r="I46" s="27" t="n"/>
      <c r="J46" s="27" t="n"/>
      <c r="K46" s="27" t="inlineStr">
        <is>
          <t>Grande SP</t>
        </is>
      </c>
      <c r="L46" s="25">
        <f>IF($B46="","",IF($F46="",Metodo!$C$30,IF(AND($F46&gt;=80,$F46&lt;=250),Metodo!$C$28,IF(OR(AND($F46&gt;=40,$F46&lt;=79),AND($F46&gt;=251,$F46&lt;=400)),Metodo!$C$29,Metodo!$C$30)))+IFERROR(INDEX(Metodo!$C$32:$C$35,MATCH($G46,Metodo!$B$32:$B$35,0)),0)+COUNTIF($H46:$J46,"Sim")*Metodo!$C$37+IFERROR(INDEX(Metodo!$C$39:$C$41,MATCH($K46,Metodo!$B$39:$B$41,0)),0))</f>
        <v/>
      </c>
      <c r="M46" s="25">
        <f>IF($L46="","",IF($L46&gt;=Metodo!$C$43,"A",IF($L46&gt;=Metodo!$C$44,"B","C")))</f>
        <v/>
      </c>
      <c r="N46" s="27" t="inlineStr">
        <is>
          <t>Nao contatado</t>
        </is>
      </c>
      <c r="O46" s="37" t="n"/>
      <c r="P46" s="28" t="n"/>
      <c r="Q46" s="27" t="inlineStr">
        <is>
          <t>Primeiro contato</t>
        </is>
      </c>
      <c r="R46" s="37" t="n"/>
      <c r="S46" s="27" t="n"/>
      <c r="T46" s="27" t="inlineStr">
        <is>
          <t>Tier 3 (varredura TomTom 2026-08-29, PR #185). Qualificacao: site próprio.</t>
        </is>
      </c>
    </row>
    <row r="47">
      <c r="A47" s="25">
        <f>IF($B47="","",ROW()-1)</f>
        <v/>
      </c>
      <c r="B47" s="11" t="inlineStr">
        <is>
          <t>Crossfit Saúde Granja Viana</t>
        </is>
      </c>
      <c r="C47" s="11" t="inlineStr">
        <is>
          <t>Carapicuíba - Av. Paraguaçu Paulista</t>
        </is>
      </c>
      <c r="D47" s="11" t="n"/>
      <c r="E47" s="11" t="inlineStr">
        <is>
          <t>+55 11 95084-0505</t>
        </is>
      </c>
      <c r="F47" s="31" t="n"/>
      <c r="G47" s="11" t="n"/>
      <c r="H47" s="11" t="n"/>
      <c r="I47" s="11" t="n"/>
      <c r="J47" s="11" t="n"/>
      <c r="K47" s="11" t="inlineStr">
        <is>
          <t>Grande SP</t>
        </is>
      </c>
      <c r="L47" s="25">
        <f>IF($B47="","",IF($F47="",Metodo!$C$30,IF(AND($F47&gt;=80,$F47&lt;=250),Metodo!$C$28,IF(OR(AND($F47&gt;=40,$F47&lt;=79),AND($F47&gt;=251,$F47&lt;=400)),Metodo!$C$29,Metodo!$C$30)))+IFERROR(INDEX(Metodo!$C$32:$C$35,MATCH($G47,Metodo!$B$32:$B$35,0)),0)+COUNTIF($H47:$J47,"Sim")*Metodo!$C$37+IFERROR(INDEX(Metodo!$C$39:$C$41,MATCH($K47,Metodo!$B$39:$B$41,0)),0))</f>
        <v/>
      </c>
      <c r="M47" s="25">
        <f>IF($L47="","",IF($L47&gt;=Metodo!$C$43,"A",IF($L47&gt;=Metodo!$C$44,"B","C")))</f>
        <v/>
      </c>
      <c r="N47" s="11" t="inlineStr">
        <is>
          <t>Nao contatado</t>
        </is>
      </c>
      <c r="O47" s="38" t="n"/>
      <c r="P47" s="31" t="n"/>
      <c r="Q47" s="11" t="inlineStr">
        <is>
          <t>Primeiro contato</t>
        </is>
      </c>
      <c r="R47" s="38" t="n"/>
      <c r="S47" s="11" t="n"/>
      <c r="T47" s="11" t="inlineStr">
        <is>
          <t>Tier 3 (varredura TomTom 2026-08-29, PR #185). Qualificacao: site próprio.</t>
        </is>
      </c>
    </row>
    <row r="48">
      <c r="A48" s="25">
        <f>IF($B48="","",ROW()-1)</f>
        <v/>
      </c>
      <c r="B48" s="27" t="inlineStr">
        <is>
          <t>131 CrossFit</t>
        </is>
      </c>
      <c r="C48" s="27" t="inlineStr">
        <is>
          <t>Diadema - Conceição</t>
        </is>
      </c>
      <c r="D48" s="27" t="n"/>
      <c r="E48" s="27" t="inlineStr">
        <is>
          <t>+55 11 94700-2160</t>
        </is>
      </c>
      <c r="F48" s="28" t="n"/>
      <c r="G48" s="27" t="n"/>
      <c r="H48" s="27" t="n"/>
      <c r="I48" s="27" t="n"/>
      <c r="J48" s="27" t="n"/>
      <c r="K48" s="27" t="inlineStr">
        <is>
          <t>Grande SP</t>
        </is>
      </c>
      <c r="L48" s="25">
        <f>IF($B48="","",IF($F48="",Metodo!$C$30,IF(AND($F48&gt;=80,$F48&lt;=250),Metodo!$C$28,IF(OR(AND($F48&gt;=40,$F48&lt;=79),AND($F48&gt;=251,$F48&lt;=400)),Metodo!$C$29,Metodo!$C$30)))+IFERROR(INDEX(Metodo!$C$32:$C$35,MATCH($G48,Metodo!$B$32:$B$35,0)),0)+COUNTIF($H48:$J48,"Sim")*Metodo!$C$37+IFERROR(INDEX(Metodo!$C$39:$C$41,MATCH($K48,Metodo!$B$39:$B$41,0)),0))</f>
        <v/>
      </c>
      <c r="M48" s="25">
        <f>IF($L48="","",IF($L48&gt;=Metodo!$C$43,"A",IF($L48&gt;=Metodo!$C$44,"B","C")))</f>
        <v/>
      </c>
      <c r="N48" s="27" t="inlineStr">
        <is>
          <t>Nao contatado</t>
        </is>
      </c>
      <c r="O48" s="37" t="n"/>
      <c r="P48" s="28" t="n"/>
      <c r="Q48" s="27" t="inlineStr">
        <is>
          <t>Primeiro contato</t>
        </is>
      </c>
      <c r="R48" s="37" t="n"/>
      <c r="S48" s="27" t="n"/>
      <c r="T48" s="27" t="inlineStr">
        <is>
          <t>Tier 3 (varredura TomTom 2026-08-29, PR #185). Qualificacao: site próprio.</t>
        </is>
      </c>
    </row>
    <row r="49">
      <c r="A49" s="25">
        <f>IF($B49="","",ROW()-1)</f>
        <v/>
      </c>
      <c r="B49" s="11" t="inlineStr">
        <is>
          <t>CrossFit Dp Mauá</t>
        </is>
      </c>
      <c r="C49" s="11" t="inlineStr">
        <is>
          <t>Mauá - Jardim Pilar</t>
        </is>
      </c>
      <c r="D49" s="11" t="n"/>
      <c r="E49" s="11" t="inlineStr">
        <is>
          <t>+55 11 2375-7615</t>
        </is>
      </c>
      <c r="F49" s="31" t="n"/>
      <c r="G49" s="11" t="n"/>
      <c r="H49" s="11" t="n"/>
      <c r="I49" s="11" t="n"/>
      <c r="J49" s="11" t="n"/>
      <c r="K49" s="11" t="inlineStr">
        <is>
          <t>Grande SP</t>
        </is>
      </c>
      <c r="L49" s="25">
        <f>IF($B49="","",IF($F49="",Metodo!$C$30,IF(AND($F49&gt;=80,$F49&lt;=250),Metodo!$C$28,IF(OR(AND($F49&gt;=40,$F49&lt;=79),AND($F49&gt;=251,$F49&lt;=400)),Metodo!$C$29,Metodo!$C$30)))+IFERROR(INDEX(Metodo!$C$32:$C$35,MATCH($G49,Metodo!$B$32:$B$35,0)),0)+COUNTIF($H49:$J49,"Sim")*Metodo!$C$37+IFERROR(INDEX(Metodo!$C$39:$C$41,MATCH($K49,Metodo!$B$39:$B$41,0)),0))</f>
        <v/>
      </c>
      <c r="M49" s="25">
        <f>IF($L49="","",IF($L49&gt;=Metodo!$C$43,"A",IF($L49&gt;=Metodo!$C$44,"B","C")))</f>
        <v/>
      </c>
      <c r="N49" s="11" t="inlineStr">
        <is>
          <t>Nao contatado</t>
        </is>
      </c>
      <c r="O49" s="38" t="n"/>
      <c r="P49" s="31" t="n"/>
      <c r="Q49" s="11" t="inlineStr">
        <is>
          <t>Primeiro contato</t>
        </is>
      </c>
      <c r="R49" s="38" t="n"/>
      <c r="S49" s="11" t="n"/>
      <c r="T49" s="11" t="inlineStr">
        <is>
          <t>Tier 3 (varredura TomTom 2026-08-29, PR #185). Qualificacao: site próprio.</t>
        </is>
      </c>
    </row>
    <row r="50">
      <c r="A50" s="25">
        <f>IF($B50="","",ROW()-1)</f>
        <v/>
      </c>
      <c r="B50" s="27" t="inlineStr">
        <is>
          <t>CrossFit Saúde Mauá</t>
        </is>
      </c>
      <c r="C50" s="27" t="inlineStr">
        <is>
          <t>Mauá - Parque São Vicente</t>
        </is>
      </c>
      <c r="D50" s="27" t="n"/>
      <c r="E50" s="27" t="inlineStr">
        <is>
          <t>+55 11 97554-1160</t>
        </is>
      </c>
      <c r="F50" s="28" t="n"/>
      <c r="G50" s="27" t="n"/>
      <c r="H50" s="27" t="n"/>
      <c r="I50" s="27" t="n"/>
      <c r="J50" s="27" t="n"/>
      <c r="K50" s="27" t="inlineStr">
        <is>
          <t>Grande SP</t>
        </is>
      </c>
      <c r="L50" s="25">
        <f>IF($B50="","",IF($F50="",Metodo!$C$30,IF(AND($F50&gt;=80,$F50&lt;=250),Metodo!$C$28,IF(OR(AND($F50&gt;=40,$F50&lt;=79),AND($F50&gt;=251,$F50&lt;=400)),Metodo!$C$29,Metodo!$C$30)))+IFERROR(INDEX(Metodo!$C$32:$C$35,MATCH($G50,Metodo!$B$32:$B$35,0)),0)+COUNTIF($H50:$J50,"Sim")*Metodo!$C$37+IFERROR(INDEX(Metodo!$C$39:$C$41,MATCH($K50,Metodo!$B$39:$B$41,0)),0))</f>
        <v/>
      </c>
      <c r="M50" s="25">
        <f>IF($L50="","",IF($L50&gt;=Metodo!$C$43,"A",IF($L50&gt;=Metodo!$C$44,"B","C")))</f>
        <v/>
      </c>
      <c r="N50" s="27" t="inlineStr">
        <is>
          <t>Nao contatado</t>
        </is>
      </c>
      <c r="O50" s="37" t="n"/>
      <c r="P50" s="28" t="n"/>
      <c r="Q50" s="27" t="inlineStr">
        <is>
          <t>Primeiro contato</t>
        </is>
      </c>
      <c r="R50" s="37" t="n"/>
      <c r="S50" s="27" t="n"/>
      <c r="T50" s="27" t="inlineStr">
        <is>
          <t>Tier 3 (varredura TomTom 2026-08-29, PR #185). Qualificacao: site próprio.</t>
        </is>
      </c>
    </row>
    <row r="51">
      <c r="A51" s="25">
        <f>IF($B51="","",ROW()-1)</f>
        <v/>
      </c>
      <c r="B51" s="11" t="inlineStr">
        <is>
          <t>Essencial Cross - Academia de Crossfit</t>
        </is>
      </c>
      <c r="C51" s="11" t="inlineStr">
        <is>
          <t>Mauá - Vila Mercedes</t>
        </is>
      </c>
      <c r="D51" s="11" t="n"/>
      <c r="E51" s="11" t="inlineStr">
        <is>
          <t>+55 11 97548-6902</t>
        </is>
      </c>
      <c r="F51" s="31" t="n"/>
      <c r="G51" s="11" t="n"/>
      <c r="H51" s="11" t="n"/>
      <c r="I51" s="11" t="n"/>
      <c r="J51" s="11" t="n"/>
      <c r="K51" s="11" t="inlineStr">
        <is>
          <t>Grande SP</t>
        </is>
      </c>
      <c r="L51" s="25">
        <f>IF($B51="","",IF($F51="",Metodo!$C$30,IF(AND($F51&gt;=80,$F51&lt;=250),Metodo!$C$28,IF(OR(AND($F51&gt;=40,$F51&lt;=79),AND($F51&gt;=251,$F51&lt;=400)),Metodo!$C$29,Metodo!$C$30)))+IFERROR(INDEX(Metodo!$C$32:$C$35,MATCH($G51,Metodo!$B$32:$B$35,0)),0)+COUNTIF($H51:$J51,"Sim")*Metodo!$C$37+IFERROR(INDEX(Metodo!$C$39:$C$41,MATCH($K51,Metodo!$B$39:$B$41,0)),0))</f>
        <v/>
      </c>
      <c r="M51" s="25">
        <f>IF($L51="","",IF($L51&gt;=Metodo!$C$43,"A",IF($L51&gt;=Metodo!$C$44,"B","C")))</f>
        <v/>
      </c>
      <c r="N51" s="11" t="inlineStr">
        <is>
          <t>Nao contatado</t>
        </is>
      </c>
      <c r="O51" s="38" t="n"/>
      <c r="P51" s="31" t="n"/>
      <c r="Q51" s="11" t="inlineStr">
        <is>
          <t>Primeiro contato</t>
        </is>
      </c>
      <c r="R51" s="38" t="n"/>
      <c r="S51" s="11" t="n"/>
      <c r="T51" s="11" t="inlineStr">
        <is>
          <t>Tier 3 (varredura TomTom 2026-08-29, PR #185). Qualificacao: site próprio.</t>
        </is>
      </c>
    </row>
    <row r="52">
      <c r="A52" s="25">
        <f>IF($B52="","",ROW()-1)</f>
        <v/>
      </c>
      <c r="B52" s="27" t="inlineStr">
        <is>
          <t>CrossFit Osasco</t>
        </is>
      </c>
      <c r="C52" s="27" t="inlineStr">
        <is>
          <t>Osasco - Umuarama</t>
        </is>
      </c>
      <c r="D52" s="27" t="n"/>
      <c r="E52" s="27" t="inlineStr">
        <is>
          <t>+55 11 4384-9699</t>
        </is>
      </c>
      <c r="F52" s="28" t="n"/>
      <c r="G52" s="27" t="n"/>
      <c r="H52" s="27" t="n"/>
      <c r="I52" s="27" t="n"/>
      <c r="J52" s="27" t="n"/>
      <c r="K52" s="27" t="inlineStr">
        <is>
          <t>Grande SP</t>
        </is>
      </c>
      <c r="L52" s="25">
        <f>IF($B52="","",IF($F52="",Metodo!$C$30,IF(AND($F52&gt;=80,$F52&lt;=250),Metodo!$C$28,IF(OR(AND($F52&gt;=40,$F52&lt;=79),AND($F52&gt;=251,$F52&lt;=400)),Metodo!$C$29,Metodo!$C$30)))+IFERROR(INDEX(Metodo!$C$32:$C$35,MATCH($G52,Metodo!$B$32:$B$35,0)),0)+COUNTIF($H52:$J52,"Sim")*Metodo!$C$37+IFERROR(INDEX(Metodo!$C$39:$C$41,MATCH($K52,Metodo!$B$39:$B$41,0)),0))</f>
        <v/>
      </c>
      <c r="M52" s="25">
        <f>IF($L52="","",IF($L52&gt;=Metodo!$C$43,"A",IF($L52&gt;=Metodo!$C$44,"B","C")))</f>
        <v/>
      </c>
      <c r="N52" s="27" t="inlineStr">
        <is>
          <t>Nao contatado</t>
        </is>
      </c>
      <c r="O52" s="37" t="n"/>
      <c r="P52" s="28" t="n"/>
      <c r="Q52" s="27" t="inlineStr">
        <is>
          <t>Primeiro contato</t>
        </is>
      </c>
      <c r="R52" s="37" t="n"/>
      <c r="S52" s="27" t="n"/>
      <c r="T52" s="27" t="inlineStr">
        <is>
          <t>Tier 3 (varredura TomTom 2026-08-29, PR #185). Qualificacao: site próprio.</t>
        </is>
      </c>
    </row>
    <row r="53">
      <c r="A53" s="25">
        <f>IF($B53="","",ROW()-1)</f>
        <v/>
      </c>
      <c r="B53" s="11" t="inlineStr">
        <is>
          <t>Barba Negra Crossfit</t>
        </is>
      </c>
      <c r="C53" s="11" t="inlineStr">
        <is>
          <t>Santo André - Vila Curuçá</t>
        </is>
      </c>
      <c r="D53" s="11" t="n"/>
      <c r="E53" s="11" t="inlineStr">
        <is>
          <t>+55 11 4012-6265</t>
        </is>
      </c>
      <c r="F53" s="31" t="n"/>
      <c r="G53" s="11" t="n"/>
      <c r="H53" s="11" t="n"/>
      <c r="I53" s="11" t="n"/>
      <c r="J53" s="11" t="n"/>
      <c r="K53" s="11" t="inlineStr">
        <is>
          <t>Grande SP</t>
        </is>
      </c>
      <c r="L53" s="25">
        <f>IF($B53="","",IF($F53="",Metodo!$C$30,IF(AND($F53&gt;=80,$F53&lt;=250),Metodo!$C$28,IF(OR(AND($F53&gt;=40,$F53&lt;=79),AND($F53&gt;=251,$F53&lt;=400)),Metodo!$C$29,Metodo!$C$30)))+IFERROR(INDEX(Metodo!$C$32:$C$35,MATCH($G53,Metodo!$B$32:$B$35,0)),0)+COUNTIF($H53:$J53,"Sim")*Metodo!$C$37+IFERROR(INDEX(Metodo!$C$39:$C$41,MATCH($K53,Metodo!$B$39:$B$41,0)),0))</f>
        <v/>
      </c>
      <c r="M53" s="25">
        <f>IF($L53="","",IF($L53&gt;=Metodo!$C$43,"A",IF($L53&gt;=Metodo!$C$44,"B","C")))</f>
        <v/>
      </c>
      <c r="N53" s="11" t="inlineStr">
        <is>
          <t>Nao contatado</t>
        </is>
      </c>
      <c r="O53" s="38" t="n"/>
      <c r="P53" s="31" t="n"/>
      <c r="Q53" s="11" t="inlineStr">
        <is>
          <t>Primeiro contato</t>
        </is>
      </c>
      <c r="R53" s="38" t="n"/>
      <c r="S53" s="11" t="n"/>
      <c r="T53" s="11" t="inlineStr">
        <is>
          <t>Tier 3 (varredura TomTom 2026-08-29, PR #185). Qualificacao: sem site.</t>
        </is>
      </c>
    </row>
    <row r="54">
      <c r="A54" s="25">
        <f>IF($B54="","",ROW()-1)</f>
        <v/>
      </c>
      <c r="B54" s="27" t="inlineStr">
        <is>
          <t>Box Utinga Crossfit</t>
        </is>
      </c>
      <c r="C54" s="27" t="inlineStr">
        <is>
          <t>Santo André - Vila Metalúrgica</t>
        </is>
      </c>
      <c r="D54" s="27" t="n"/>
      <c r="E54" s="27" t="inlineStr">
        <is>
          <t>+55 11 4997-3228</t>
        </is>
      </c>
      <c r="F54" s="28" t="n"/>
      <c r="G54" s="27" t="n"/>
      <c r="H54" s="27" t="n"/>
      <c r="I54" s="27" t="n"/>
      <c r="J54" s="27" t="n"/>
      <c r="K54" s="27" t="inlineStr">
        <is>
          <t>Grande SP</t>
        </is>
      </c>
      <c r="L54" s="25">
        <f>IF($B54="","",IF($F54="",Metodo!$C$30,IF(AND($F54&gt;=80,$F54&lt;=250),Metodo!$C$28,IF(OR(AND($F54&gt;=40,$F54&lt;=79),AND($F54&gt;=251,$F54&lt;=400)),Metodo!$C$29,Metodo!$C$30)))+IFERROR(INDEX(Metodo!$C$32:$C$35,MATCH($G54,Metodo!$B$32:$B$35,0)),0)+COUNTIF($H54:$J54,"Sim")*Metodo!$C$37+IFERROR(INDEX(Metodo!$C$39:$C$41,MATCH($K54,Metodo!$B$39:$B$41,0)),0))</f>
        <v/>
      </c>
      <c r="M54" s="25">
        <f>IF($L54="","",IF($L54&gt;=Metodo!$C$43,"A",IF($L54&gt;=Metodo!$C$44,"B","C")))</f>
        <v/>
      </c>
      <c r="N54" s="27" t="inlineStr">
        <is>
          <t>Nao contatado</t>
        </is>
      </c>
      <c r="O54" s="37" t="n"/>
      <c r="P54" s="28" t="n"/>
      <c r="Q54" s="27" t="inlineStr">
        <is>
          <t>Primeiro contato</t>
        </is>
      </c>
      <c r="R54" s="37" t="n"/>
      <c r="S54" s="27" t="n"/>
      <c r="T54" s="27" t="inlineStr">
        <is>
          <t>Tier 3 (varredura TomTom 2026-08-29, PR #185). Qualificacao: site próprio.</t>
        </is>
      </c>
    </row>
    <row r="55">
      <c r="A55" s="25">
        <f>IF($B55="","",ROW()-1)</f>
        <v/>
      </c>
      <c r="B55" s="11" t="inlineStr">
        <is>
          <t>Crossfit 198</t>
        </is>
      </c>
      <c r="C55" s="11" t="inlineStr">
        <is>
          <t>Santo André - Bairro Jardim</t>
        </is>
      </c>
      <c r="D55" s="11" t="n"/>
      <c r="E55" s="11" t="n"/>
      <c r="F55" s="31" t="n"/>
      <c r="G55" s="11" t="n"/>
      <c r="H55" s="11" t="n"/>
      <c r="I55" s="11" t="n"/>
      <c r="J55" s="11" t="n"/>
      <c r="K55" s="11" t="inlineStr">
        <is>
          <t>Grande SP</t>
        </is>
      </c>
      <c r="L55" s="25">
        <f>IF($B55="","",IF($F55="",Metodo!$C$30,IF(AND($F55&gt;=80,$F55&lt;=250),Metodo!$C$28,IF(OR(AND($F55&gt;=40,$F55&lt;=79),AND($F55&gt;=251,$F55&lt;=400)),Metodo!$C$29,Metodo!$C$30)))+IFERROR(INDEX(Metodo!$C$32:$C$35,MATCH($G55,Metodo!$B$32:$B$35,0)),0)+COUNTIF($H55:$J55,"Sim")*Metodo!$C$37+IFERROR(INDEX(Metodo!$C$39:$C$41,MATCH($K55,Metodo!$B$39:$B$41,0)),0))</f>
        <v/>
      </c>
      <c r="M55" s="25">
        <f>IF($L55="","",IF($L55&gt;=Metodo!$C$43,"A",IF($L55&gt;=Metodo!$C$44,"B","C")))</f>
        <v/>
      </c>
      <c r="N55" s="11" t="inlineStr">
        <is>
          <t>Nao contatado</t>
        </is>
      </c>
      <c r="O55" s="38" t="n"/>
      <c r="P55" s="31" t="n"/>
      <c r="Q55" s="11" t="inlineStr">
        <is>
          <t>Achar contato</t>
        </is>
      </c>
      <c r="R55" s="38" t="n"/>
      <c r="S55" s="11" t="n"/>
      <c r="T55" s="11" t="inlineStr">
        <is>
          <t>Tier 3 (varredura TomTom 2026-08-29, PR #185). Qualificacao: sem site.</t>
        </is>
      </c>
    </row>
    <row r="56">
      <c r="A56" s="25">
        <f>IF($B56="","",ROW()-1)</f>
        <v/>
      </c>
      <c r="B56" s="27" t="inlineStr">
        <is>
          <t>Crossfit Badak</t>
        </is>
      </c>
      <c r="C56" s="27" t="inlineStr">
        <is>
          <t>Santo André - Centro</t>
        </is>
      </c>
      <c r="D56" s="27" t="n"/>
      <c r="E56" s="27" t="inlineStr">
        <is>
          <t>+55 11 4432-2332</t>
        </is>
      </c>
      <c r="F56" s="28" t="n"/>
      <c r="G56" s="27" t="n"/>
      <c r="H56" s="27" t="n"/>
      <c r="I56" s="27" t="n"/>
      <c r="J56" s="27" t="n"/>
      <c r="K56" s="27" t="inlineStr">
        <is>
          <t>Grande SP</t>
        </is>
      </c>
      <c r="L56" s="25">
        <f>IF($B56="","",IF($F56="",Metodo!$C$30,IF(AND($F56&gt;=80,$F56&lt;=250),Metodo!$C$28,IF(OR(AND($F56&gt;=40,$F56&lt;=79),AND($F56&gt;=251,$F56&lt;=400)),Metodo!$C$29,Metodo!$C$30)))+IFERROR(INDEX(Metodo!$C$32:$C$35,MATCH($G56,Metodo!$B$32:$B$35,0)),0)+COUNTIF($H56:$J56,"Sim")*Metodo!$C$37+IFERROR(INDEX(Metodo!$C$39:$C$41,MATCH($K56,Metodo!$B$39:$B$41,0)),0))</f>
        <v/>
      </c>
      <c r="M56" s="25">
        <f>IF($L56="","",IF($L56&gt;=Metodo!$C$43,"A",IF($L56&gt;=Metodo!$C$44,"B","C")))</f>
        <v/>
      </c>
      <c r="N56" s="27" t="inlineStr">
        <is>
          <t>Nao contatado</t>
        </is>
      </c>
      <c r="O56" s="37" t="n"/>
      <c r="P56" s="28" t="n"/>
      <c r="Q56" s="27" t="inlineStr">
        <is>
          <t>Primeiro contato</t>
        </is>
      </c>
      <c r="R56" s="37" t="n"/>
      <c r="S56" s="27" t="n"/>
      <c r="T56" s="27" t="inlineStr">
        <is>
          <t>Tier 3 (varredura TomTom 2026-08-29, PR #185). Qualificacao: site próprio.</t>
        </is>
      </c>
    </row>
    <row r="57">
      <c r="A57" s="25">
        <f>IF($B57="","",ROW()-1)</f>
        <v/>
      </c>
      <c r="B57" s="11" t="inlineStr">
        <is>
          <t>Juscelino Kubitschek Crossfit</t>
        </is>
      </c>
      <c r="C57" s="11" t="inlineStr">
        <is>
          <t>Santo André - Bairro Jardim</t>
        </is>
      </c>
      <c r="D57" s="11" t="n"/>
      <c r="E57" s="11" t="inlineStr">
        <is>
          <t>+55 11 2896-0253</t>
        </is>
      </c>
      <c r="F57" s="31" t="n"/>
      <c r="G57" s="11" t="n"/>
      <c r="H57" s="11" t="n"/>
      <c r="I57" s="11" t="n"/>
      <c r="J57" s="11" t="n"/>
      <c r="K57" s="11" t="inlineStr">
        <is>
          <t>Grande SP</t>
        </is>
      </c>
      <c r="L57" s="25">
        <f>IF($B57="","",IF($F57="",Metodo!$C$30,IF(AND($F57&gt;=80,$F57&lt;=250),Metodo!$C$28,IF(OR(AND($F57&gt;=40,$F57&lt;=79),AND($F57&gt;=251,$F57&lt;=400)),Metodo!$C$29,Metodo!$C$30)))+IFERROR(INDEX(Metodo!$C$32:$C$35,MATCH($G57,Metodo!$B$32:$B$35,0)),0)+COUNTIF($H57:$J57,"Sim")*Metodo!$C$37+IFERROR(INDEX(Metodo!$C$39:$C$41,MATCH($K57,Metodo!$B$39:$B$41,0)),0))</f>
        <v/>
      </c>
      <c r="M57" s="25">
        <f>IF($L57="","",IF($L57&gt;=Metodo!$C$43,"A",IF($L57&gt;=Metodo!$C$44,"B","C")))</f>
        <v/>
      </c>
      <c r="N57" s="11" t="inlineStr">
        <is>
          <t>Nao contatado</t>
        </is>
      </c>
      <c r="O57" s="38" t="n"/>
      <c r="P57" s="31" t="n"/>
      <c r="Q57" s="11" t="inlineStr">
        <is>
          <t>Primeiro contato</t>
        </is>
      </c>
      <c r="R57" s="38" t="n"/>
      <c r="S57" s="11" t="n"/>
      <c r="T57" s="11" t="inlineStr">
        <is>
          <t>Tier 3 (varredura TomTom 2026-08-29, PR #185). Qualificacao: sem site.</t>
        </is>
      </c>
    </row>
    <row r="58">
      <c r="A58" s="25">
        <f>IF($B58="","",ROW()-1)</f>
        <v/>
      </c>
      <c r="B58" s="27" t="inlineStr">
        <is>
          <t>Cross Planalto</t>
        </is>
      </c>
      <c r="C58" s="27" t="inlineStr">
        <is>
          <t>São Bernardo do Campo - Independência</t>
        </is>
      </c>
      <c r="D58" s="27" t="n"/>
      <c r="E58" s="27" t="inlineStr">
        <is>
          <t>+55 11 4509-9888</t>
        </is>
      </c>
      <c r="F58" s="28" t="n"/>
      <c r="G58" s="27" t="n"/>
      <c r="H58" s="27" t="n"/>
      <c r="I58" s="27" t="n"/>
      <c r="J58" s="27" t="n"/>
      <c r="K58" s="27" t="inlineStr">
        <is>
          <t>Grande SP</t>
        </is>
      </c>
      <c r="L58" s="25">
        <f>IF($B58="","",IF($F58="",Metodo!$C$30,IF(AND($F58&gt;=80,$F58&lt;=250),Metodo!$C$28,IF(OR(AND($F58&gt;=40,$F58&lt;=79),AND($F58&gt;=251,$F58&lt;=400)),Metodo!$C$29,Metodo!$C$30)))+IFERROR(INDEX(Metodo!$C$32:$C$35,MATCH($G58,Metodo!$B$32:$B$35,0)),0)+COUNTIF($H58:$J58,"Sim")*Metodo!$C$37+IFERROR(INDEX(Metodo!$C$39:$C$41,MATCH($K58,Metodo!$B$39:$B$41,0)),0))</f>
        <v/>
      </c>
      <c r="M58" s="25">
        <f>IF($L58="","",IF($L58&gt;=Metodo!$C$43,"A",IF($L58&gt;=Metodo!$C$44,"B","C")))</f>
        <v/>
      </c>
      <c r="N58" s="27" t="inlineStr">
        <is>
          <t>Nao contatado</t>
        </is>
      </c>
      <c r="O58" s="37" t="n"/>
      <c r="P58" s="28" t="n"/>
      <c r="Q58" s="27" t="inlineStr">
        <is>
          <t>Primeiro contato</t>
        </is>
      </c>
      <c r="R58" s="37" t="n"/>
      <c r="S58" s="27" t="n"/>
      <c r="T58" s="27" t="inlineStr">
        <is>
          <t>Tier 3 (varredura TomTom 2026-08-29, PR #185). Qualificacao: site próprio.</t>
        </is>
      </c>
    </row>
    <row r="59">
      <c r="A59" s="25">
        <f>IF($B59="","",ROW()-1)</f>
        <v/>
      </c>
      <c r="B59" s="11" t="inlineStr">
        <is>
          <t>CrossFit Range</t>
        </is>
      </c>
      <c r="C59" s="11" t="inlineStr">
        <is>
          <t>São Bernardo do Campo - Baeta Neves</t>
        </is>
      </c>
      <c r="D59" s="11" t="n"/>
      <c r="E59" s="11" t="n"/>
      <c r="F59" s="31" t="n"/>
      <c r="G59" s="11" t="n"/>
      <c r="H59" s="11" t="n"/>
      <c r="I59" s="11" t="n"/>
      <c r="J59" s="11" t="n"/>
      <c r="K59" s="11" t="inlineStr">
        <is>
          <t>Grande SP</t>
        </is>
      </c>
      <c r="L59" s="25">
        <f>IF($B59="","",IF($F59="",Metodo!$C$30,IF(AND($F59&gt;=80,$F59&lt;=250),Metodo!$C$28,IF(OR(AND($F59&gt;=40,$F59&lt;=79),AND($F59&gt;=251,$F59&lt;=400)),Metodo!$C$29,Metodo!$C$30)))+IFERROR(INDEX(Metodo!$C$32:$C$35,MATCH($G59,Metodo!$B$32:$B$35,0)),0)+COUNTIF($H59:$J59,"Sim")*Metodo!$C$37+IFERROR(INDEX(Metodo!$C$39:$C$41,MATCH($K59,Metodo!$B$39:$B$41,0)),0))</f>
        <v/>
      </c>
      <c r="M59" s="25">
        <f>IF($L59="","",IF($L59&gt;=Metodo!$C$43,"A",IF($L59&gt;=Metodo!$C$44,"B","C")))</f>
        <v/>
      </c>
      <c r="N59" s="11" t="inlineStr">
        <is>
          <t>Nao contatado</t>
        </is>
      </c>
      <c r="O59" s="38" t="n"/>
      <c r="P59" s="31" t="n"/>
      <c r="Q59" s="11" t="inlineStr">
        <is>
          <t>Achar contato</t>
        </is>
      </c>
      <c r="R59" s="38" t="n"/>
      <c r="S59" s="11" t="n"/>
      <c r="T59" s="11" t="inlineStr">
        <is>
          <t>Tier 3 (varredura TomTom 2026-08-29, PR #185). Qualificacao: site próprio.</t>
        </is>
      </c>
    </row>
    <row r="60">
      <c r="A60" s="25">
        <f>IF($B60="","",ROW()-1)</f>
        <v/>
      </c>
      <c r="B60" s="27" t="inlineStr">
        <is>
          <t>CrossFit Titânio</t>
        </is>
      </c>
      <c r="C60" s="27" t="inlineStr">
        <is>
          <t>São Bernardo do Campo - Centro</t>
        </is>
      </c>
      <c r="D60" s="27" t="n"/>
      <c r="E60" s="27" t="inlineStr">
        <is>
          <t>+55 11 3380-6506</t>
        </is>
      </c>
      <c r="F60" s="28" t="n"/>
      <c r="G60" s="27" t="n"/>
      <c r="H60" s="27" t="n"/>
      <c r="I60" s="27" t="n"/>
      <c r="J60" s="27" t="n"/>
      <c r="K60" s="27" t="inlineStr">
        <is>
          <t>Grande SP</t>
        </is>
      </c>
      <c r="L60" s="25">
        <f>IF($B60="","",IF($F60="",Metodo!$C$30,IF(AND($F60&gt;=80,$F60&lt;=250),Metodo!$C$28,IF(OR(AND($F60&gt;=40,$F60&lt;=79),AND($F60&gt;=251,$F60&lt;=400)),Metodo!$C$29,Metodo!$C$30)))+IFERROR(INDEX(Metodo!$C$32:$C$35,MATCH($G60,Metodo!$B$32:$B$35,0)),0)+COUNTIF($H60:$J60,"Sim")*Metodo!$C$37+IFERROR(INDEX(Metodo!$C$39:$C$41,MATCH($K60,Metodo!$B$39:$B$41,0)),0))</f>
        <v/>
      </c>
      <c r="M60" s="25">
        <f>IF($L60="","",IF($L60&gt;=Metodo!$C$43,"A",IF($L60&gt;=Metodo!$C$44,"B","C")))</f>
        <v/>
      </c>
      <c r="N60" s="27" t="inlineStr">
        <is>
          <t>Nao contatado</t>
        </is>
      </c>
      <c r="O60" s="37" t="n"/>
      <c r="P60" s="28" t="n"/>
      <c r="Q60" s="27" t="inlineStr">
        <is>
          <t>Primeiro contato</t>
        </is>
      </c>
      <c r="R60" s="37" t="n"/>
      <c r="S60" s="27" t="n"/>
      <c r="T60" s="27" t="inlineStr">
        <is>
          <t>Tier 3 (varredura TomTom 2026-08-29, PR #185). Qualificacao: site próprio.</t>
        </is>
      </c>
    </row>
    <row r="61">
      <c r="A61" s="25">
        <f>IF($B61="","",ROW()-1)</f>
        <v/>
      </c>
      <c r="B61" s="11" t="inlineStr">
        <is>
          <t>Crossfit Capitão</t>
        </is>
      </c>
      <c r="C61" s="11" t="inlineStr">
        <is>
          <t>São Bernardo do Campo - Casa</t>
        </is>
      </c>
      <c r="D61" s="11" t="n"/>
      <c r="E61" s="11" t="inlineStr">
        <is>
          <t>+55 11 4509-5333</t>
        </is>
      </c>
      <c r="F61" s="31" t="n"/>
      <c r="G61" s="11" t="n"/>
      <c r="H61" s="11" t="n"/>
      <c r="I61" s="11" t="n"/>
      <c r="J61" s="11" t="n"/>
      <c r="K61" s="11" t="inlineStr">
        <is>
          <t>Grande SP</t>
        </is>
      </c>
      <c r="L61" s="25">
        <f>IF($B61="","",IF($F61="",Metodo!$C$30,IF(AND($F61&gt;=80,$F61&lt;=250),Metodo!$C$28,IF(OR(AND($F61&gt;=40,$F61&lt;=79),AND($F61&gt;=251,$F61&lt;=400)),Metodo!$C$29,Metodo!$C$30)))+IFERROR(INDEX(Metodo!$C$32:$C$35,MATCH($G61,Metodo!$B$32:$B$35,0)),0)+COUNTIF($H61:$J61,"Sim")*Metodo!$C$37+IFERROR(INDEX(Metodo!$C$39:$C$41,MATCH($K61,Metodo!$B$39:$B$41,0)),0))</f>
        <v/>
      </c>
      <c r="M61" s="25">
        <f>IF($L61="","",IF($L61&gt;=Metodo!$C$43,"A",IF($L61&gt;=Metodo!$C$44,"B","C")))</f>
        <v/>
      </c>
      <c r="N61" s="11" t="inlineStr">
        <is>
          <t>Nao contatado</t>
        </is>
      </c>
      <c r="O61" s="38" t="n"/>
      <c r="P61" s="31" t="n"/>
      <c r="Q61" s="11" t="inlineStr">
        <is>
          <t>Primeiro contato</t>
        </is>
      </c>
      <c r="R61" s="38" t="n"/>
      <c r="S61" s="11" t="n"/>
      <c r="T61" s="11" t="inlineStr">
        <is>
          <t>Tier 3 (varredura TomTom 2026-08-29, PR #185). Qualificacao: sem site.</t>
        </is>
      </c>
    </row>
    <row r="62">
      <c r="A62" s="25">
        <f>IF($B62="","",ROW()-1)</f>
        <v/>
      </c>
      <c r="B62" s="27" t="inlineStr">
        <is>
          <t>Crossfit Tamoko</t>
        </is>
      </c>
      <c r="C62" s="27" t="inlineStr">
        <is>
          <t>São Bernardo do Campo - Rudge Ramos</t>
        </is>
      </c>
      <c r="D62" s="27" t="n"/>
      <c r="E62" s="27" t="inlineStr">
        <is>
          <t>+55 11 99664-7999</t>
        </is>
      </c>
      <c r="F62" s="28" t="n"/>
      <c r="G62" s="27" t="n"/>
      <c r="H62" s="27" t="n"/>
      <c r="I62" s="27" t="n"/>
      <c r="J62" s="27" t="n"/>
      <c r="K62" s="27" t="inlineStr">
        <is>
          <t>Grande SP</t>
        </is>
      </c>
      <c r="L62" s="25">
        <f>IF($B62="","",IF($F62="",Metodo!$C$30,IF(AND($F62&gt;=80,$F62&lt;=250),Metodo!$C$28,IF(OR(AND($F62&gt;=40,$F62&lt;=79),AND($F62&gt;=251,$F62&lt;=400)),Metodo!$C$29,Metodo!$C$30)))+IFERROR(INDEX(Metodo!$C$32:$C$35,MATCH($G62,Metodo!$B$32:$B$35,0)),0)+COUNTIF($H62:$J62,"Sim")*Metodo!$C$37+IFERROR(INDEX(Metodo!$C$39:$C$41,MATCH($K62,Metodo!$B$39:$B$41,0)),0))</f>
        <v/>
      </c>
      <c r="M62" s="25">
        <f>IF($L62="","",IF($L62&gt;=Metodo!$C$43,"A",IF($L62&gt;=Metodo!$C$44,"B","C")))</f>
        <v/>
      </c>
      <c r="N62" s="27" t="inlineStr">
        <is>
          <t>Nao contatado</t>
        </is>
      </c>
      <c r="O62" s="37" t="n"/>
      <c r="P62" s="28" t="n"/>
      <c r="Q62" s="27" t="inlineStr">
        <is>
          <t>Primeiro contato</t>
        </is>
      </c>
      <c r="R62" s="37" t="n"/>
      <c r="S62" s="27" t="n"/>
      <c r="T62" s="27" t="inlineStr">
        <is>
          <t>Tier 3 (varredura TomTom 2026-08-29, PR #185). Qualificacao: sem site.</t>
        </is>
      </c>
    </row>
    <row r="63">
      <c r="A63" s="25">
        <f>IF($B63="","",ROW()-1)</f>
        <v/>
      </c>
      <c r="B63" s="11" t="inlineStr">
        <is>
          <t>Crossfit Voraz</t>
        </is>
      </c>
      <c r="C63" s="11" t="inlineStr">
        <is>
          <t>São Bernardo do Campo - Centro</t>
        </is>
      </c>
      <c r="D63" s="11" t="n"/>
      <c r="E63" s="11" t="inlineStr">
        <is>
          <t>+55 11 97698-1669</t>
        </is>
      </c>
      <c r="F63" s="31" t="n"/>
      <c r="G63" s="11" t="n"/>
      <c r="H63" s="11" t="n"/>
      <c r="I63" s="11" t="n"/>
      <c r="J63" s="11" t="n"/>
      <c r="K63" s="11" t="inlineStr">
        <is>
          <t>Grande SP</t>
        </is>
      </c>
      <c r="L63" s="25">
        <f>IF($B63="","",IF($F63="",Metodo!$C$30,IF(AND($F63&gt;=80,$F63&lt;=250),Metodo!$C$28,IF(OR(AND($F63&gt;=40,$F63&lt;=79),AND($F63&gt;=251,$F63&lt;=400)),Metodo!$C$29,Metodo!$C$30)))+IFERROR(INDEX(Metodo!$C$32:$C$35,MATCH($G63,Metodo!$B$32:$B$35,0)),0)+COUNTIF($H63:$J63,"Sim")*Metodo!$C$37+IFERROR(INDEX(Metodo!$C$39:$C$41,MATCH($K63,Metodo!$B$39:$B$41,0)),0))</f>
        <v/>
      </c>
      <c r="M63" s="25">
        <f>IF($L63="","",IF($L63&gt;=Metodo!$C$43,"A",IF($L63&gt;=Metodo!$C$44,"B","C")))</f>
        <v/>
      </c>
      <c r="N63" s="11" t="inlineStr">
        <is>
          <t>Nao contatado</t>
        </is>
      </c>
      <c r="O63" s="38" t="n"/>
      <c r="P63" s="31" t="n"/>
      <c r="Q63" s="11" t="inlineStr">
        <is>
          <t>Primeiro contato</t>
        </is>
      </c>
      <c r="R63" s="38" t="n"/>
      <c r="S63" s="11" t="n"/>
      <c r="T63" s="11" t="inlineStr">
        <is>
          <t>Tier 3 (varredura TomTom 2026-08-29, PR #185). Qualificacao: site próprio.</t>
        </is>
      </c>
    </row>
    <row r="64">
      <c r="A64" s="25">
        <f>IF($B64="","",ROW()-1)</f>
        <v/>
      </c>
      <c r="B64" s="27" t="inlineStr">
        <is>
          <t>Arena Crossfit III</t>
        </is>
      </c>
      <c r="C64" s="27" t="inlineStr">
        <is>
          <t>São Caetano do Sul - Ceramica</t>
        </is>
      </c>
      <c r="D64" s="27" t="n"/>
      <c r="E64" s="27" t="inlineStr">
        <is>
          <t>+55 11 96747-7124</t>
        </is>
      </c>
      <c r="F64" s="28" t="n"/>
      <c r="G64" s="27" t="n"/>
      <c r="H64" s="27" t="n"/>
      <c r="I64" s="27" t="n"/>
      <c r="J64" s="27" t="n"/>
      <c r="K64" s="27" t="inlineStr">
        <is>
          <t>Grande SP</t>
        </is>
      </c>
      <c r="L64" s="25">
        <f>IF($B64="","",IF($F64="",Metodo!$C$30,IF(AND($F64&gt;=80,$F64&lt;=250),Metodo!$C$28,IF(OR(AND($F64&gt;=40,$F64&lt;=79),AND($F64&gt;=251,$F64&lt;=400)),Metodo!$C$29,Metodo!$C$30)))+IFERROR(INDEX(Metodo!$C$32:$C$35,MATCH($G64,Metodo!$B$32:$B$35,0)),0)+COUNTIF($H64:$J64,"Sim")*Metodo!$C$37+IFERROR(INDEX(Metodo!$C$39:$C$41,MATCH($K64,Metodo!$B$39:$B$41,0)),0))</f>
        <v/>
      </c>
      <c r="M64" s="25">
        <f>IF($L64="","",IF($L64&gt;=Metodo!$C$43,"A",IF($L64&gt;=Metodo!$C$44,"B","C")))</f>
        <v/>
      </c>
      <c r="N64" s="27" t="inlineStr">
        <is>
          <t>Nao contatado</t>
        </is>
      </c>
      <c r="O64" s="37" t="n"/>
      <c r="P64" s="28" t="n"/>
      <c r="Q64" s="27" t="inlineStr">
        <is>
          <t>Primeiro contato</t>
        </is>
      </c>
      <c r="R64" s="37" t="n"/>
      <c r="S64" s="27" t="n"/>
      <c r="T64" s="27" t="inlineStr">
        <is>
          <t>Tier 3 (varredura TomTom 2026-08-29, PR #185). Qualificacao: sem site.</t>
        </is>
      </c>
    </row>
    <row r="65">
      <c r="A65" s="25">
        <f>IF($B65="","",ROW()-1)</f>
        <v/>
      </c>
      <c r="B65" s="11" t="inlineStr">
        <is>
          <t>CrossFit Barcelona Park</t>
        </is>
      </c>
      <c r="C65" s="11" t="inlineStr">
        <is>
          <t>São Caetano do Sul - Santa Maria</t>
        </is>
      </c>
      <c r="D65" s="11" t="n"/>
      <c r="E65" s="11" t="inlineStr">
        <is>
          <t>+55 11 93055-4440</t>
        </is>
      </c>
      <c r="F65" s="31" t="n"/>
      <c r="G65" s="11" t="n"/>
      <c r="H65" s="11" t="n"/>
      <c r="I65" s="11" t="n"/>
      <c r="J65" s="11" t="n"/>
      <c r="K65" s="11" t="inlineStr">
        <is>
          <t>Grande SP</t>
        </is>
      </c>
      <c r="L65" s="25">
        <f>IF($B65="","",IF($F65="",Metodo!$C$30,IF(AND($F65&gt;=80,$F65&lt;=250),Metodo!$C$28,IF(OR(AND($F65&gt;=40,$F65&lt;=79),AND($F65&gt;=251,$F65&lt;=400)),Metodo!$C$29,Metodo!$C$30)))+IFERROR(INDEX(Metodo!$C$32:$C$35,MATCH($G65,Metodo!$B$32:$B$35,0)),0)+COUNTIF($H65:$J65,"Sim")*Metodo!$C$37+IFERROR(INDEX(Metodo!$C$39:$C$41,MATCH($K65,Metodo!$B$39:$B$41,0)),0))</f>
        <v/>
      </c>
      <c r="M65" s="25">
        <f>IF($L65="","",IF($L65&gt;=Metodo!$C$43,"A",IF($L65&gt;=Metodo!$C$44,"B","C")))</f>
        <v/>
      </c>
      <c r="N65" s="11" t="inlineStr">
        <is>
          <t>Nao contatado</t>
        </is>
      </c>
      <c r="O65" s="38" t="n"/>
      <c r="P65" s="31" t="n"/>
      <c r="Q65" s="11" t="inlineStr">
        <is>
          <t>Primeiro contato</t>
        </is>
      </c>
      <c r="R65" s="38" t="n"/>
      <c r="S65" s="11" t="n"/>
      <c r="T65" s="11" t="inlineStr">
        <is>
          <t>Tier 3 (varredura TomTom 2026-08-29, PR #185). Qualificacao: site próprio.</t>
        </is>
      </c>
    </row>
    <row r="66">
      <c r="A66" s="25">
        <f>IF($B66="","",ROW()-1)</f>
        <v/>
      </c>
      <c r="B66" s="27" t="inlineStr">
        <is>
          <t>Crossfit Espaço Cerâmica</t>
        </is>
      </c>
      <c r="C66" s="27" t="inlineStr">
        <is>
          <t>São Caetano do Sul - São José</t>
        </is>
      </c>
      <c r="D66" s="27" t="n"/>
      <c r="E66" s="27" t="inlineStr">
        <is>
          <t>+55 11 94453-0999</t>
        </is>
      </c>
      <c r="F66" s="28" t="n"/>
      <c r="G66" s="27" t="n"/>
      <c r="H66" s="27" t="n"/>
      <c r="I66" s="27" t="n"/>
      <c r="J66" s="27" t="n"/>
      <c r="K66" s="27" t="inlineStr">
        <is>
          <t>Grande SP</t>
        </is>
      </c>
      <c r="L66" s="25">
        <f>IF($B66="","",IF($F66="",Metodo!$C$30,IF(AND($F66&gt;=80,$F66&lt;=250),Metodo!$C$28,IF(OR(AND($F66&gt;=40,$F66&lt;=79),AND($F66&gt;=251,$F66&lt;=400)),Metodo!$C$29,Metodo!$C$30)))+IFERROR(INDEX(Metodo!$C$32:$C$35,MATCH($G66,Metodo!$B$32:$B$35,0)),0)+COUNTIF($H66:$J66,"Sim")*Metodo!$C$37+IFERROR(INDEX(Metodo!$C$39:$C$41,MATCH($K66,Metodo!$B$39:$B$41,0)),0))</f>
        <v/>
      </c>
      <c r="M66" s="25">
        <f>IF($L66="","",IF($L66&gt;=Metodo!$C$43,"A",IF($L66&gt;=Metodo!$C$44,"B","C")))</f>
        <v/>
      </c>
      <c r="N66" s="27" t="inlineStr">
        <is>
          <t>Nao contatado</t>
        </is>
      </c>
      <c r="O66" s="37" t="n"/>
      <c r="P66" s="28" t="n"/>
      <c r="Q66" s="27" t="inlineStr">
        <is>
          <t>Primeiro contato</t>
        </is>
      </c>
      <c r="R66" s="37" t="n"/>
      <c r="S66" s="27" t="n"/>
      <c r="T66" s="27" t="inlineStr">
        <is>
          <t>Tier 3 (varredura TomTom 2026-08-29, PR #185). Qualificacao: site próprio.</t>
        </is>
      </c>
    </row>
    <row r="67">
      <c r="A67" s="25">
        <f>IF($B67="","",ROW()-1)</f>
        <v/>
      </c>
      <c r="B67" s="11" t="inlineStr">
        <is>
          <t>Crossfit Visconde</t>
        </is>
      </c>
      <c r="C67" s="11" t="inlineStr">
        <is>
          <t>São Caetano do Sul - Oswaldo Cruz</t>
        </is>
      </c>
      <c r="D67" s="11" t="n"/>
      <c r="E67" s="11" t="inlineStr">
        <is>
          <t>+55 11 95279-6110</t>
        </is>
      </c>
      <c r="F67" s="31" t="n"/>
      <c r="G67" s="11" t="n"/>
      <c r="H67" s="11" t="n"/>
      <c r="I67" s="11" t="n"/>
      <c r="J67" s="11" t="n"/>
      <c r="K67" s="11" t="inlineStr">
        <is>
          <t>Grande SP</t>
        </is>
      </c>
      <c r="L67" s="25">
        <f>IF($B67="","",IF($F67="",Metodo!$C$30,IF(AND($F67&gt;=80,$F67&lt;=250),Metodo!$C$28,IF(OR(AND($F67&gt;=40,$F67&lt;=79),AND($F67&gt;=251,$F67&lt;=400)),Metodo!$C$29,Metodo!$C$30)))+IFERROR(INDEX(Metodo!$C$32:$C$35,MATCH($G67,Metodo!$B$32:$B$35,0)),0)+COUNTIF($H67:$J67,"Sim")*Metodo!$C$37+IFERROR(INDEX(Metodo!$C$39:$C$41,MATCH($K67,Metodo!$B$39:$B$41,0)),0))</f>
        <v/>
      </c>
      <c r="M67" s="25">
        <f>IF($L67="","",IF($L67&gt;=Metodo!$C$43,"A",IF($L67&gt;=Metodo!$C$44,"B","C")))</f>
        <v/>
      </c>
      <c r="N67" s="11" t="inlineStr">
        <is>
          <t>Nao contatado</t>
        </is>
      </c>
      <c r="O67" s="38" t="n"/>
      <c r="P67" s="31" t="n"/>
      <c r="Q67" s="11" t="inlineStr">
        <is>
          <t>Primeiro contato</t>
        </is>
      </c>
      <c r="R67" s="38" t="n"/>
      <c r="S67" s="11" t="n"/>
      <c r="T67" s="11" t="inlineStr">
        <is>
          <t>Tier 3 (varredura TomTom 2026-08-29, PR #185). Qualificacao: site próprio.</t>
        </is>
      </c>
    </row>
    <row r="68">
      <c r="A68" s="25">
        <f>IF($B68="","",ROW()-1)</f>
        <v/>
      </c>
      <c r="B68" s="27" t="inlineStr">
        <is>
          <t>Triple CrossFit</t>
        </is>
      </c>
      <c r="C68" s="27" t="inlineStr">
        <is>
          <t>São Caetano do Sul - Santa Paula</t>
        </is>
      </c>
      <c r="D68" s="27" t="n"/>
      <c r="E68" s="27" t="inlineStr">
        <is>
          <t>+55 11 91069-4634</t>
        </is>
      </c>
      <c r="F68" s="28" t="n"/>
      <c r="G68" s="27" t="n"/>
      <c r="H68" s="27" t="n"/>
      <c r="I68" s="27" t="n"/>
      <c r="J68" s="27" t="n"/>
      <c r="K68" s="27" t="inlineStr">
        <is>
          <t>Grande SP</t>
        </is>
      </c>
      <c r="L68" s="25">
        <f>IF($B68="","",IF($F68="",Metodo!$C$30,IF(AND($F68&gt;=80,$F68&lt;=250),Metodo!$C$28,IF(OR(AND($F68&gt;=40,$F68&lt;=79),AND($F68&gt;=251,$F68&lt;=400)),Metodo!$C$29,Metodo!$C$30)))+IFERROR(INDEX(Metodo!$C$32:$C$35,MATCH($G68,Metodo!$B$32:$B$35,0)),0)+COUNTIF($H68:$J68,"Sim")*Metodo!$C$37+IFERROR(INDEX(Metodo!$C$39:$C$41,MATCH($K68,Metodo!$B$39:$B$41,0)),0))</f>
        <v/>
      </c>
      <c r="M68" s="25">
        <f>IF($L68="","",IF($L68&gt;=Metodo!$C$43,"A",IF($L68&gt;=Metodo!$C$44,"B","C")))</f>
        <v/>
      </c>
      <c r="N68" s="27" t="inlineStr">
        <is>
          <t>Nao contatado</t>
        </is>
      </c>
      <c r="O68" s="37" t="n"/>
      <c r="P68" s="28" t="n"/>
      <c r="Q68" s="27" t="inlineStr">
        <is>
          <t>Primeiro contato</t>
        </is>
      </c>
      <c r="R68" s="37" t="n"/>
      <c r="S68" s="27" t="n"/>
      <c r="T68" s="27" t="inlineStr">
        <is>
          <t>Tier 3 (varredura TomTom 2026-08-29, PR #185). Qualificacao: site próprio.</t>
        </is>
      </c>
    </row>
    <row r="69">
      <c r="A69" s="25">
        <f>IF($B69="","",ROW()-1)</f>
        <v/>
      </c>
      <c r="B69" s="11" t="inlineStr">
        <is>
          <t>3050 CrossFit</t>
        </is>
      </c>
      <c r="C69" s="11" t="inlineStr">
        <is>
          <t>São Paulo - Jardim Paulista</t>
        </is>
      </c>
      <c r="D69" s="11" t="n"/>
      <c r="E69" s="11" t="inlineStr">
        <is>
          <t>+55 11 99272-0789</t>
        </is>
      </c>
      <c r="F69" s="31" t="n"/>
      <c r="G69" s="11" t="n"/>
      <c r="H69" s="11" t="n"/>
      <c r="I69" s="11" t="n"/>
      <c r="J69" s="11" t="n"/>
      <c r="K69" s="11" t="inlineStr">
        <is>
          <t>Grande SP</t>
        </is>
      </c>
      <c r="L69" s="25">
        <f>IF($B69="","",IF($F69="",Metodo!$C$30,IF(AND($F69&gt;=80,$F69&lt;=250),Metodo!$C$28,IF(OR(AND($F69&gt;=40,$F69&lt;=79),AND($F69&gt;=251,$F69&lt;=400)),Metodo!$C$29,Metodo!$C$30)))+IFERROR(INDEX(Metodo!$C$32:$C$35,MATCH($G69,Metodo!$B$32:$B$35,0)),0)+COUNTIF($H69:$J69,"Sim")*Metodo!$C$37+IFERROR(INDEX(Metodo!$C$39:$C$41,MATCH($K69,Metodo!$B$39:$B$41,0)),0))</f>
        <v/>
      </c>
      <c r="M69" s="25">
        <f>IF($L69="","",IF($L69&gt;=Metodo!$C$43,"A",IF($L69&gt;=Metodo!$C$44,"B","C")))</f>
        <v/>
      </c>
      <c r="N69" s="11" t="inlineStr">
        <is>
          <t>Nao contatado</t>
        </is>
      </c>
      <c r="O69" s="38" t="n"/>
      <c r="P69" s="31" t="n"/>
      <c r="Q69" s="11" t="inlineStr">
        <is>
          <t>Primeiro contato</t>
        </is>
      </c>
      <c r="R69" s="38" t="n"/>
      <c r="S69" s="11" t="n"/>
      <c r="T69" s="11" t="inlineStr">
        <is>
          <t>Tier 3 (varredura TomTom 2026-08-29, PR #185). Qualificacao: site próprio.</t>
        </is>
      </c>
    </row>
    <row r="70">
      <c r="A70" s="25">
        <f>IF($B70="","",ROW()-1)</f>
        <v/>
      </c>
      <c r="B70" s="27" t="inlineStr">
        <is>
          <t>Atrium CrossFit</t>
        </is>
      </c>
      <c r="C70" s="27" t="inlineStr">
        <is>
          <t>São Paulo - Vila Andrade</t>
        </is>
      </c>
      <c r="D70" s="27" t="n"/>
      <c r="E70" s="27" t="inlineStr">
        <is>
          <t>+55 11 91689-9090</t>
        </is>
      </c>
      <c r="F70" s="28" t="n"/>
      <c r="G70" s="27" t="n"/>
      <c r="H70" s="27" t="n"/>
      <c r="I70" s="27" t="n"/>
      <c r="J70" s="27" t="n"/>
      <c r="K70" s="27" t="inlineStr">
        <is>
          <t>Grande SP</t>
        </is>
      </c>
      <c r="L70" s="25">
        <f>IF($B70="","",IF($F70="",Metodo!$C$30,IF(AND($F70&gt;=80,$F70&lt;=250),Metodo!$C$28,IF(OR(AND($F70&gt;=40,$F70&lt;=79),AND($F70&gt;=251,$F70&lt;=400)),Metodo!$C$29,Metodo!$C$30)))+IFERROR(INDEX(Metodo!$C$32:$C$35,MATCH($G70,Metodo!$B$32:$B$35,0)),0)+COUNTIF($H70:$J70,"Sim")*Metodo!$C$37+IFERROR(INDEX(Metodo!$C$39:$C$41,MATCH($K70,Metodo!$B$39:$B$41,0)),0))</f>
        <v/>
      </c>
      <c r="M70" s="25">
        <f>IF($L70="","",IF($L70&gt;=Metodo!$C$43,"A",IF($L70&gt;=Metodo!$C$44,"B","C")))</f>
        <v/>
      </c>
      <c r="N70" s="27" t="inlineStr">
        <is>
          <t>Nao contatado</t>
        </is>
      </c>
      <c r="O70" s="37" t="n"/>
      <c r="P70" s="28" t="n"/>
      <c r="Q70" s="27" t="inlineStr">
        <is>
          <t>Primeiro contato</t>
        </is>
      </c>
      <c r="R70" s="37" t="n"/>
      <c r="S70" s="27" t="n"/>
      <c r="T70" s="27" t="inlineStr">
        <is>
          <t>Tier 3 (varredura TomTom 2026-08-29, PR #185). Qualificacao: site próprio.</t>
        </is>
      </c>
    </row>
    <row r="71">
      <c r="A71" s="25">
        <f>IF($B71="","",ROW()-1)</f>
        <v/>
      </c>
      <c r="B71" s="11" t="inlineStr">
        <is>
          <t>Blindado CrossFit</t>
        </is>
      </c>
      <c r="C71" s="11" t="inlineStr">
        <is>
          <t>São Paulo - Santo Amaro</t>
        </is>
      </c>
      <c r="D71" s="11" t="n"/>
      <c r="E71" s="11" t="inlineStr">
        <is>
          <t>+55 11 2533-2894</t>
        </is>
      </c>
      <c r="F71" s="31" t="n"/>
      <c r="G71" s="11" t="n"/>
      <c r="H71" s="11" t="n"/>
      <c r="I71" s="11" t="n"/>
      <c r="J71" s="11" t="n"/>
      <c r="K71" s="11" t="inlineStr">
        <is>
          <t>Grande SP</t>
        </is>
      </c>
      <c r="L71" s="25">
        <f>IF($B71="","",IF($F71="",Metodo!$C$30,IF(AND($F71&gt;=80,$F71&lt;=250),Metodo!$C$28,IF(OR(AND($F71&gt;=40,$F71&lt;=79),AND($F71&gt;=251,$F71&lt;=400)),Metodo!$C$29,Metodo!$C$30)))+IFERROR(INDEX(Metodo!$C$32:$C$35,MATCH($G71,Metodo!$B$32:$B$35,0)),0)+COUNTIF($H71:$J71,"Sim")*Metodo!$C$37+IFERROR(INDEX(Metodo!$C$39:$C$41,MATCH($K71,Metodo!$B$39:$B$41,0)),0))</f>
        <v/>
      </c>
      <c r="M71" s="25">
        <f>IF($L71="","",IF($L71&gt;=Metodo!$C$43,"A",IF($L71&gt;=Metodo!$C$44,"B","C")))</f>
        <v/>
      </c>
      <c r="N71" s="11" t="inlineStr">
        <is>
          <t>Nao contatado</t>
        </is>
      </c>
      <c r="O71" s="38" t="n"/>
      <c r="P71" s="31" t="n"/>
      <c r="Q71" s="11" t="inlineStr">
        <is>
          <t>Primeiro contato</t>
        </is>
      </c>
      <c r="R71" s="38" t="n"/>
      <c r="S71" s="11" t="n"/>
      <c r="T71" s="11" t="inlineStr">
        <is>
          <t>Tier 3 (varredura TomTom 2026-08-29, PR #185). Qualificacao: site próprio.</t>
        </is>
      </c>
    </row>
    <row r="72">
      <c r="A72" s="25">
        <f>IF($B72="","",ROW()-1)</f>
        <v/>
      </c>
      <c r="B72" s="27" t="inlineStr">
        <is>
          <t>CrossFit 2Hands</t>
        </is>
      </c>
      <c r="C72" s="27" t="inlineStr">
        <is>
          <t>São Paulo - Água Rasa</t>
        </is>
      </c>
      <c r="D72" s="27" t="n"/>
      <c r="E72" s="27" t="inlineStr">
        <is>
          <t>+55 11 94736-3563</t>
        </is>
      </c>
      <c r="F72" s="28" t="n"/>
      <c r="G72" s="27" t="n"/>
      <c r="H72" s="27" t="n"/>
      <c r="I72" s="27" t="n"/>
      <c r="J72" s="27" t="n"/>
      <c r="K72" s="27" t="inlineStr">
        <is>
          <t>Grande SP</t>
        </is>
      </c>
      <c r="L72" s="25">
        <f>IF($B72="","",IF($F72="",Metodo!$C$30,IF(AND($F72&gt;=80,$F72&lt;=250),Metodo!$C$28,IF(OR(AND($F72&gt;=40,$F72&lt;=79),AND($F72&gt;=251,$F72&lt;=400)),Metodo!$C$29,Metodo!$C$30)))+IFERROR(INDEX(Metodo!$C$32:$C$35,MATCH($G72,Metodo!$B$32:$B$35,0)),0)+COUNTIF($H72:$J72,"Sim")*Metodo!$C$37+IFERROR(INDEX(Metodo!$C$39:$C$41,MATCH($K72,Metodo!$B$39:$B$41,0)),0))</f>
        <v/>
      </c>
      <c r="M72" s="25">
        <f>IF($L72="","",IF($L72&gt;=Metodo!$C$43,"A",IF($L72&gt;=Metodo!$C$44,"B","C")))</f>
        <v/>
      </c>
      <c r="N72" s="27" t="inlineStr">
        <is>
          <t>Nao contatado</t>
        </is>
      </c>
      <c r="O72" s="37" t="n"/>
      <c r="P72" s="28" t="n"/>
      <c r="Q72" s="27" t="inlineStr">
        <is>
          <t>Primeiro contato</t>
        </is>
      </c>
      <c r="R72" s="37" t="n"/>
      <c r="S72" s="27" t="n"/>
      <c r="T72" s="27" t="inlineStr">
        <is>
          <t>Tier 3 (varredura TomTom 2026-08-29, PR #185). Qualificacao: site próprio.</t>
        </is>
      </c>
    </row>
    <row r="73">
      <c r="A73" s="25">
        <f>IF($B73="","",ROW()-1)</f>
        <v/>
      </c>
      <c r="B73" s="11" t="inlineStr">
        <is>
          <t>CrossFit Aclimação</t>
        </is>
      </c>
      <c r="C73" s="11" t="inlineStr">
        <is>
          <t>São Paulo - Liberdade</t>
        </is>
      </c>
      <c r="D73" s="11" t="n"/>
      <c r="E73" s="11" t="inlineStr">
        <is>
          <t>+55 11 94069-8807</t>
        </is>
      </c>
      <c r="F73" s="31" t="n"/>
      <c r="G73" s="11" t="n"/>
      <c r="H73" s="11" t="n"/>
      <c r="I73" s="11" t="n"/>
      <c r="J73" s="11" t="n"/>
      <c r="K73" s="11" t="inlineStr">
        <is>
          <t>Grande SP</t>
        </is>
      </c>
      <c r="L73" s="25">
        <f>IF($B73="","",IF($F73="",Metodo!$C$30,IF(AND($F73&gt;=80,$F73&lt;=250),Metodo!$C$28,IF(OR(AND($F73&gt;=40,$F73&lt;=79),AND($F73&gt;=251,$F73&lt;=400)),Metodo!$C$29,Metodo!$C$30)))+IFERROR(INDEX(Metodo!$C$32:$C$35,MATCH($G73,Metodo!$B$32:$B$35,0)),0)+COUNTIF($H73:$J73,"Sim")*Metodo!$C$37+IFERROR(INDEX(Metodo!$C$39:$C$41,MATCH($K73,Metodo!$B$39:$B$41,0)),0))</f>
        <v/>
      </c>
      <c r="M73" s="25">
        <f>IF($L73="","",IF($L73&gt;=Metodo!$C$43,"A",IF($L73&gt;=Metodo!$C$44,"B","C")))</f>
        <v/>
      </c>
      <c r="N73" s="11" t="inlineStr">
        <is>
          <t>Nao contatado</t>
        </is>
      </c>
      <c r="O73" s="38" t="n"/>
      <c r="P73" s="31" t="n"/>
      <c r="Q73" s="11" t="inlineStr">
        <is>
          <t>Primeiro contato</t>
        </is>
      </c>
      <c r="R73" s="38" t="n"/>
      <c r="S73" s="11" t="n"/>
      <c r="T73" s="11" t="inlineStr">
        <is>
          <t>Tier 3 (varredura TomTom 2026-08-29, PR #185). Qualificacao: site próprio.</t>
        </is>
      </c>
    </row>
    <row r="74">
      <c r="A74" s="25">
        <f>IF($B74="","",ROW()-1)</f>
        <v/>
      </c>
      <c r="B74" s="27" t="inlineStr">
        <is>
          <t>CrossFit Anália Franco</t>
        </is>
      </c>
      <c r="C74" s="27" t="inlineStr">
        <is>
          <t>São Paulo - Vila Formosa</t>
        </is>
      </c>
      <c r="D74" s="27" t="n"/>
      <c r="E74" s="27" t="inlineStr">
        <is>
          <t>+55 11 99884-4540</t>
        </is>
      </c>
      <c r="F74" s="28" t="n"/>
      <c r="G74" s="27" t="n"/>
      <c r="H74" s="27" t="n"/>
      <c r="I74" s="27" t="n"/>
      <c r="J74" s="27" t="n"/>
      <c r="K74" s="27" t="inlineStr">
        <is>
          <t>Grande SP</t>
        </is>
      </c>
      <c r="L74" s="25">
        <f>IF($B74="","",IF($F74="",Metodo!$C$30,IF(AND($F74&gt;=80,$F74&lt;=250),Metodo!$C$28,IF(OR(AND($F74&gt;=40,$F74&lt;=79),AND($F74&gt;=251,$F74&lt;=400)),Metodo!$C$29,Metodo!$C$30)))+IFERROR(INDEX(Metodo!$C$32:$C$35,MATCH($G74,Metodo!$B$32:$B$35,0)),0)+COUNTIF($H74:$J74,"Sim")*Metodo!$C$37+IFERROR(INDEX(Metodo!$C$39:$C$41,MATCH($K74,Metodo!$B$39:$B$41,0)),0))</f>
        <v/>
      </c>
      <c r="M74" s="25">
        <f>IF($L74="","",IF($L74&gt;=Metodo!$C$43,"A",IF($L74&gt;=Metodo!$C$44,"B","C")))</f>
        <v/>
      </c>
      <c r="N74" s="27" t="inlineStr">
        <is>
          <t>Nao contatado</t>
        </is>
      </c>
      <c r="O74" s="37" t="n"/>
      <c r="P74" s="28" t="n"/>
      <c r="Q74" s="27" t="inlineStr">
        <is>
          <t>Primeiro contato</t>
        </is>
      </c>
      <c r="R74" s="37" t="n"/>
      <c r="S74" s="27" t="n"/>
      <c r="T74" s="27" t="inlineStr">
        <is>
          <t>Tier 3 (varredura TomTom 2026-08-29, PR #185). Qualificacao: site próprio.</t>
        </is>
      </c>
    </row>
    <row r="75">
      <c r="A75" s="25">
        <f>IF($B75="","",ROW()-1)</f>
        <v/>
      </c>
      <c r="B75" s="11" t="inlineStr">
        <is>
          <t>CrossFit Butantã</t>
        </is>
      </c>
      <c r="C75" s="11" t="inlineStr">
        <is>
          <t>São Paulo - Rio Pequeno</t>
        </is>
      </c>
      <c r="D75" s="11" t="n"/>
      <c r="E75" s="11" t="inlineStr">
        <is>
          <t>+55 11 2386-5766</t>
        </is>
      </c>
      <c r="F75" s="31" t="n"/>
      <c r="G75" s="11" t="n"/>
      <c r="H75" s="11" t="n"/>
      <c r="I75" s="11" t="n"/>
      <c r="J75" s="11" t="n"/>
      <c r="K75" s="11" t="inlineStr">
        <is>
          <t>Grande SP</t>
        </is>
      </c>
      <c r="L75" s="25">
        <f>IF($B75="","",IF($F75="",Metodo!$C$30,IF(AND($F75&gt;=80,$F75&lt;=250),Metodo!$C$28,IF(OR(AND($F75&gt;=40,$F75&lt;=79),AND($F75&gt;=251,$F75&lt;=400)),Metodo!$C$29,Metodo!$C$30)))+IFERROR(INDEX(Metodo!$C$32:$C$35,MATCH($G75,Metodo!$B$32:$B$35,0)),0)+COUNTIF($H75:$J75,"Sim")*Metodo!$C$37+IFERROR(INDEX(Metodo!$C$39:$C$41,MATCH($K75,Metodo!$B$39:$B$41,0)),0))</f>
        <v/>
      </c>
      <c r="M75" s="25">
        <f>IF($L75="","",IF($L75&gt;=Metodo!$C$43,"A",IF($L75&gt;=Metodo!$C$44,"B","C")))</f>
        <v/>
      </c>
      <c r="N75" s="11" t="inlineStr">
        <is>
          <t>Nao contatado</t>
        </is>
      </c>
      <c r="O75" s="38" t="n"/>
      <c r="P75" s="31" t="n"/>
      <c r="Q75" s="11" t="inlineStr">
        <is>
          <t>Primeiro contato</t>
        </is>
      </c>
      <c r="R75" s="38" t="n"/>
      <c r="S75" s="11" t="n"/>
      <c r="T75" s="11" t="inlineStr">
        <is>
          <t>Tier 3 (varredura TomTom 2026-08-29, PR #185). Qualificacao: site próprio.</t>
        </is>
      </c>
    </row>
    <row r="76">
      <c r="A76" s="25">
        <f>IF($B76="","",ROW()-1)</f>
        <v/>
      </c>
      <c r="B76" s="27" t="inlineStr">
        <is>
          <t>CrossFit Chácara</t>
        </is>
      </c>
      <c r="C76" s="27" t="inlineStr">
        <is>
          <t>São Paulo - Santo Amaro</t>
        </is>
      </c>
      <c r="D76" s="27" t="n"/>
      <c r="E76" s="27" t="inlineStr">
        <is>
          <t>+55 11 3467-9077</t>
        </is>
      </c>
      <c r="F76" s="28" t="n"/>
      <c r="G76" s="27" t="n"/>
      <c r="H76" s="27" t="n"/>
      <c r="I76" s="27" t="n"/>
      <c r="J76" s="27" t="n"/>
      <c r="K76" s="27" t="inlineStr">
        <is>
          <t>Grande SP</t>
        </is>
      </c>
      <c r="L76" s="25">
        <f>IF($B76="","",IF($F76="",Metodo!$C$30,IF(AND($F76&gt;=80,$F76&lt;=250),Metodo!$C$28,IF(OR(AND($F76&gt;=40,$F76&lt;=79),AND($F76&gt;=251,$F76&lt;=400)),Metodo!$C$29,Metodo!$C$30)))+IFERROR(INDEX(Metodo!$C$32:$C$35,MATCH($G76,Metodo!$B$32:$B$35,0)),0)+COUNTIF($H76:$J76,"Sim")*Metodo!$C$37+IFERROR(INDEX(Metodo!$C$39:$C$41,MATCH($K76,Metodo!$B$39:$B$41,0)),0))</f>
        <v/>
      </c>
      <c r="M76" s="25">
        <f>IF($L76="","",IF($L76&gt;=Metodo!$C$43,"A",IF($L76&gt;=Metodo!$C$44,"B","C")))</f>
        <v/>
      </c>
      <c r="N76" s="27" t="inlineStr">
        <is>
          <t>Nao contatado</t>
        </is>
      </c>
      <c r="O76" s="37" t="n"/>
      <c r="P76" s="28" t="n"/>
      <c r="Q76" s="27" t="inlineStr">
        <is>
          <t>Primeiro contato</t>
        </is>
      </c>
      <c r="R76" s="37" t="n"/>
      <c r="S76" s="27" t="n"/>
      <c r="T76" s="27" t="inlineStr">
        <is>
          <t>Tier 3 (varredura TomTom 2026-08-29, PR #185). Qualificacao: site próprio.</t>
        </is>
      </c>
    </row>
    <row r="77">
      <c r="A77" s="25">
        <f>IF($B77="","",ROW()-1)</f>
        <v/>
      </c>
      <c r="B77" s="11" t="inlineStr">
        <is>
          <t>CrossFit Cobra</t>
        </is>
      </c>
      <c r="C77" s="11" t="inlineStr">
        <is>
          <t>São Paulo - Saúde</t>
        </is>
      </c>
      <c r="D77" s="11" t="n"/>
      <c r="E77" s="11" t="n"/>
      <c r="F77" s="31" t="n"/>
      <c r="G77" s="11" t="n"/>
      <c r="H77" s="11" t="n"/>
      <c r="I77" s="11" t="n"/>
      <c r="J77" s="11" t="n"/>
      <c r="K77" s="11" t="inlineStr">
        <is>
          <t>Grande SP</t>
        </is>
      </c>
      <c r="L77" s="25">
        <f>IF($B77="","",IF($F77="",Metodo!$C$30,IF(AND($F77&gt;=80,$F77&lt;=250),Metodo!$C$28,IF(OR(AND($F77&gt;=40,$F77&lt;=79),AND($F77&gt;=251,$F77&lt;=400)),Metodo!$C$29,Metodo!$C$30)))+IFERROR(INDEX(Metodo!$C$32:$C$35,MATCH($G77,Metodo!$B$32:$B$35,0)),0)+COUNTIF($H77:$J77,"Sim")*Metodo!$C$37+IFERROR(INDEX(Metodo!$C$39:$C$41,MATCH($K77,Metodo!$B$39:$B$41,0)),0))</f>
        <v/>
      </c>
      <c r="M77" s="25">
        <f>IF($L77="","",IF($L77&gt;=Metodo!$C$43,"A",IF($L77&gt;=Metodo!$C$44,"B","C")))</f>
        <v/>
      </c>
      <c r="N77" s="11" t="inlineStr">
        <is>
          <t>Nao contatado</t>
        </is>
      </c>
      <c r="O77" s="38" t="n"/>
      <c r="P77" s="31" t="n"/>
      <c r="Q77" s="11" t="inlineStr">
        <is>
          <t>Achar contato</t>
        </is>
      </c>
      <c r="R77" s="38" t="n"/>
      <c r="S77" s="11" t="n"/>
      <c r="T77" s="11" t="inlineStr">
        <is>
          <t>Tier 3 (varredura TomTom 2026-08-29, PR #185). Qualificacao: sem site.</t>
        </is>
      </c>
    </row>
    <row r="78">
      <c r="A78" s="25">
        <f>IF($B78="","",ROW()-1)</f>
        <v/>
      </c>
      <c r="B78" s="27" t="inlineStr">
        <is>
          <t>CrossFit ERM</t>
        </is>
      </c>
      <c r="C78" s="27" t="inlineStr">
        <is>
          <t>São Paulo - Ermelino Matarazzo</t>
        </is>
      </c>
      <c r="D78" s="27" t="n"/>
      <c r="E78" s="27" t="inlineStr">
        <is>
          <t>+55 11 94796-5748</t>
        </is>
      </c>
      <c r="F78" s="28" t="n"/>
      <c r="G78" s="27" t="n"/>
      <c r="H78" s="27" t="n"/>
      <c r="I78" s="27" t="n"/>
      <c r="J78" s="27" t="n"/>
      <c r="K78" s="27" t="inlineStr">
        <is>
          <t>Grande SP</t>
        </is>
      </c>
      <c r="L78" s="25">
        <f>IF($B78="","",IF($F78="",Metodo!$C$30,IF(AND($F78&gt;=80,$F78&lt;=250),Metodo!$C$28,IF(OR(AND($F78&gt;=40,$F78&lt;=79),AND($F78&gt;=251,$F78&lt;=400)),Metodo!$C$29,Metodo!$C$30)))+IFERROR(INDEX(Metodo!$C$32:$C$35,MATCH($G78,Metodo!$B$32:$B$35,0)),0)+COUNTIF($H78:$J78,"Sim")*Metodo!$C$37+IFERROR(INDEX(Metodo!$C$39:$C$41,MATCH($K78,Metodo!$B$39:$B$41,0)),0))</f>
        <v/>
      </c>
      <c r="M78" s="25">
        <f>IF($L78="","",IF($L78&gt;=Metodo!$C$43,"A",IF($L78&gt;=Metodo!$C$44,"B","C")))</f>
        <v/>
      </c>
      <c r="N78" s="27" t="inlineStr">
        <is>
          <t>Nao contatado</t>
        </is>
      </c>
      <c r="O78" s="37" t="n"/>
      <c r="P78" s="28" t="n"/>
      <c r="Q78" s="27" t="inlineStr">
        <is>
          <t>Primeiro contato</t>
        </is>
      </c>
      <c r="R78" s="37" t="n"/>
      <c r="S78" s="27" t="n"/>
      <c r="T78" s="27" t="inlineStr">
        <is>
          <t>Tier 3 (varredura TomTom 2026-08-29, PR #185). Qualificacao: site próprio.</t>
        </is>
      </c>
    </row>
    <row r="79">
      <c r="A79" s="25">
        <f>IF($B79="","",ROW()-1)</f>
        <v/>
      </c>
      <c r="B79" s="11" t="inlineStr">
        <is>
          <t>CrossFit Great Bear</t>
        </is>
      </c>
      <c r="C79" s="11" t="inlineStr">
        <is>
          <t>São Paulo - Sacomã</t>
        </is>
      </c>
      <c r="D79" s="11" t="n"/>
      <c r="E79" s="11" t="inlineStr">
        <is>
          <t>+55 11 2307-3273</t>
        </is>
      </c>
      <c r="F79" s="31" t="n"/>
      <c r="G79" s="11" t="n"/>
      <c r="H79" s="11" t="n"/>
      <c r="I79" s="11" t="n"/>
      <c r="J79" s="11" t="n"/>
      <c r="K79" s="11" t="inlineStr">
        <is>
          <t>Grande SP</t>
        </is>
      </c>
      <c r="L79" s="25">
        <f>IF($B79="","",IF($F79="",Metodo!$C$30,IF(AND($F79&gt;=80,$F79&lt;=250),Metodo!$C$28,IF(OR(AND($F79&gt;=40,$F79&lt;=79),AND($F79&gt;=251,$F79&lt;=400)),Metodo!$C$29,Metodo!$C$30)))+IFERROR(INDEX(Metodo!$C$32:$C$35,MATCH($G79,Metodo!$B$32:$B$35,0)),0)+COUNTIF($H79:$J79,"Sim")*Metodo!$C$37+IFERROR(INDEX(Metodo!$C$39:$C$41,MATCH($K79,Metodo!$B$39:$B$41,0)),0))</f>
        <v/>
      </c>
      <c r="M79" s="25">
        <f>IF($L79="","",IF($L79&gt;=Metodo!$C$43,"A",IF($L79&gt;=Metodo!$C$44,"B","C")))</f>
        <v/>
      </c>
      <c r="N79" s="11" t="inlineStr">
        <is>
          <t>Nao contatado</t>
        </is>
      </c>
      <c r="O79" s="38" t="n"/>
      <c r="P79" s="31" t="n"/>
      <c r="Q79" s="11" t="inlineStr">
        <is>
          <t>Primeiro contato</t>
        </is>
      </c>
      <c r="R79" s="38" t="n"/>
      <c r="S79" s="11" t="n"/>
      <c r="T79" s="11" t="inlineStr">
        <is>
          <t>Tier 3 (varredura TomTom 2026-08-29, PR #185). Qualificacao: sem site.</t>
        </is>
      </c>
    </row>
    <row r="80">
      <c r="A80" s="25">
        <f>IF($B80="","",ROW()-1)</f>
        <v/>
      </c>
      <c r="B80" s="27" t="inlineStr">
        <is>
          <t>CrossFit Ipiranga</t>
        </is>
      </c>
      <c r="C80" s="27" t="inlineStr">
        <is>
          <t>São Paulo - Ipiranga</t>
        </is>
      </c>
      <c r="D80" s="27" t="n"/>
      <c r="E80" s="27" t="inlineStr">
        <is>
          <t>+55 11 98329-6279</t>
        </is>
      </c>
      <c r="F80" s="28" t="n"/>
      <c r="G80" s="27" t="n"/>
      <c r="H80" s="27" t="n"/>
      <c r="I80" s="27" t="n"/>
      <c r="J80" s="27" t="n"/>
      <c r="K80" s="27" t="inlineStr">
        <is>
          <t>Grande SP</t>
        </is>
      </c>
      <c r="L80" s="25">
        <f>IF($B80="","",IF($F80="",Metodo!$C$30,IF(AND($F80&gt;=80,$F80&lt;=250),Metodo!$C$28,IF(OR(AND($F80&gt;=40,$F80&lt;=79),AND($F80&gt;=251,$F80&lt;=400)),Metodo!$C$29,Metodo!$C$30)))+IFERROR(INDEX(Metodo!$C$32:$C$35,MATCH($G80,Metodo!$B$32:$B$35,0)),0)+COUNTIF($H80:$J80,"Sim")*Metodo!$C$37+IFERROR(INDEX(Metodo!$C$39:$C$41,MATCH($K80,Metodo!$B$39:$B$41,0)),0))</f>
        <v/>
      </c>
      <c r="M80" s="25">
        <f>IF($L80="","",IF($L80&gt;=Metodo!$C$43,"A",IF($L80&gt;=Metodo!$C$44,"B","C")))</f>
        <v/>
      </c>
      <c r="N80" s="27" t="inlineStr">
        <is>
          <t>Nao contatado</t>
        </is>
      </c>
      <c r="O80" s="37" t="n"/>
      <c r="P80" s="28" t="n"/>
      <c r="Q80" s="27" t="inlineStr">
        <is>
          <t>Primeiro contato</t>
        </is>
      </c>
      <c r="R80" s="37" t="n"/>
      <c r="S80" s="27" t="n"/>
      <c r="T80" s="27" t="inlineStr">
        <is>
          <t>Tier 3 (varredura TomTom 2026-08-29, PR #185). Qualificacao: site próprio.</t>
        </is>
      </c>
    </row>
    <row r="81">
      <c r="A81" s="25">
        <f>IF($B81="","",ROW()-1)</f>
        <v/>
      </c>
      <c r="B81" s="11" t="inlineStr">
        <is>
          <t>CrossFit Ironhead</t>
        </is>
      </c>
      <c r="C81" s="11" t="inlineStr">
        <is>
          <t>São Paulo - Vila Andrade</t>
        </is>
      </c>
      <c r="D81" s="11" t="n"/>
      <c r="E81" s="11" t="inlineStr">
        <is>
          <t>+55 11 97700-0085</t>
        </is>
      </c>
      <c r="F81" s="31" t="n"/>
      <c r="G81" s="11" t="n"/>
      <c r="H81" s="11" t="n"/>
      <c r="I81" s="11" t="n"/>
      <c r="J81" s="11" t="n"/>
      <c r="K81" s="11" t="inlineStr">
        <is>
          <t>Grande SP</t>
        </is>
      </c>
      <c r="L81" s="25">
        <f>IF($B81="","",IF($F81="",Metodo!$C$30,IF(AND($F81&gt;=80,$F81&lt;=250),Metodo!$C$28,IF(OR(AND($F81&gt;=40,$F81&lt;=79),AND($F81&gt;=251,$F81&lt;=400)),Metodo!$C$29,Metodo!$C$30)))+IFERROR(INDEX(Metodo!$C$32:$C$35,MATCH($G81,Metodo!$B$32:$B$35,0)),0)+COUNTIF($H81:$J81,"Sim")*Metodo!$C$37+IFERROR(INDEX(Metodo!$C$39:$C$41,MATCH($K81,Metodo!$B$39:$B$41,0)),0))</f>
        <v/>
      </c>
      <c r="M81" s="25">
        <f>IF($L81="","",IF($L81&gt;=Metodo!$C$43,"A",IF($L81&gt;=Metodo!$C$44,"B","C")))</f>
        <v/>
      </c>
      <c r="N81" s="11" t="inlineStr">
        <is>
          <t>Nao contatado</t>
        </is>
      </c>
      <c r="O81" s="38" t="n"/>
      <c r="P81" s="31" t="n"/>
      <c r="Q81" s="11" t="inlineStr">
        <is>
          <t>Primeiro contato</t>
        </is>
      </c>
      <c r="R81" s="38" t="n"/>
      <c r="S81" s="11" t="n"/>
      <c r="T81" s="11" t="inlineStr">
        <is>
          <t>Tier 3 (varredura TomTom 2026-08-29, PR #185). Qualificacao: site próprio.</t>
        </is>
      </c>
    </row>
    <row r="82">
      <c r="A82" s="25">
        <f>IF($B82="","",ROW()-1)</f>
        <v/>
      </c>
      <c r="B82" s="27" t="inlineStr">
        <is>
          <t>CrossFit Jaceru</t>
        </is>
      </c>
      <c r="C82" s="27" t="inlineStr">
        <is>
          <t>São Paulo - Itaim Bibi</t>
        </is>
      </c>
      <c r="D82" s="27" t="n"/>
      <c r="E82" s="27" t="n"/>
      <c r="F82" s="28" t="n"/>
      <c r="G82" s="27" t="n"/>
      <c r="H82" s="27" t="n"/>
      <c r="I82" s="27" t="n"/>
      <c r="J82" s="27" t="n"/>
      <c r="K82" s="27" t="inlineStr">
        <is>
          <t>Grande SP</t>
        </is>
      </c>
      <c r="L82" s="25">
        <f>IF($B82="","",IF($F82="",Metodo!$C$30,IF(AND($F82&gt;=80,$F82&lt;=250),Metodo!$C$28,IF(OR(AND($F82&gt;=40,$F82&lt;=79),AND($F82&gt;=251,$F82&lt;=400)),Metodo!$C$29,Metodo!$C$30)))+IFERROR(INDEX(Metodo!$C$32:$C$35,MATCH($G82,Metodo!$B$32:$B$35,0)),0)+COUNTIF($H82:$J82,"Sim")*Metodo!$C$37+IFERROR(INDEX(Metodo!$C$39:$C$41,MATCH($K82,Metodo!$B$39:$B$41,0)),0))</f>
        <v/>
      </c>
      <c r="M82" s="25">
        <f>IF($L82="","",IF($L82&gt;=Metodo!$C$43,"A",IF($L82&gt;=Metodo!$C$44,"B","C")))</f>
        <v/>
      </c>
      <c r="N82" s="27" t="inlineStr">
        <is>
          <t>Nao contatado</t>
        </is>
      </c>
      <c r="O82" s="37" t="n"/>
      <c r="P82" s="28" t="n"/>
      <c r="Q82" s="27" t="inlineStr">
        <is>
          <t>Achar contato</t>
        </is>
      </c>
      <c r="R82" s="37" t="n"/>
      <c r="S82" s="27" t="n"/>
      <c r="T82" s="27" t="inlineStr">
        <is>
          <t>Tier 3 (varredura TomTom 2026-08-29, PR #185). Qualificacao: site próprio.</t>
        </is>
      </c>
    </row>
    <row r="83">
      <c r="A83" s="25">
        <f>IF($B83="","",ROW()-1)</f>
        <v/>
      </c>
      <c r="B83" s="11" t="inlineStr">
        <is>
          <t>CrossFit Lion Shield</t>
        </is>
      </c>
      <c r="C83" s="11" t="inlineStr">
        <is>
          <t>São Paulo - Vila Matilde</t>
        </is>
      </c>
      <c r="D83" s="11" t="n"/>
      <c r="E83" s="11" t="inlineStr">
        <is>
          <t>+55 11 2653-5800</t>
        </is>
      </c>
      <c r="F83" s="31" t="n"/>
      <c r="G83" s="11" t="n"/>
      <c r="H83" s="11" t="n"/>
      <c r="I83" s="11" t="n"/>
      <c r="J83" s="11" t="n"/>
      <c r="K83" s="11" t="inlineStr">
        <is>
          <t>Grande SP</t>
        </is>
      </c>
      <c r="L83" s="25">
        <f>IF($B83="","",IF($F83="",Metodo!$C$30,IF(AND($F83&gt;=80,$F83&lt;=250),Metodo!$C$28,IF(OR(AND($F83&gt;=40,$F83&lt;=79),AND($F83&gt;=251,$F83&lt;=400)),Metodo!$C$29,Metodo!$C$30)))+IFERROR(INDEX(Metodo!$C$32:$C$35,MATCH($G83,Metodo!$B$32:$B$35,0)),0)+COUNTIF($H83:$J83,"Sim")*Metodo!$C$37+IFERROR(INDEX(Metodo!$C$39:$C$41,MATCH($K83,Metodo!$B$39:$B$41,0)),0))</f>
        <v/>
      </c>
      <c r="M83" s="25">
        <f>IF($L83="","",IF($L83&gt;=Metodo!$C$43,"A",IF($L83&gt;=Metodo!$C$44,"B","C")))</f>
        <v/>
      </c>
      <c r="N83" s="11" t="inlineStr">
        <is>
          <t>Nao contatado</t>
        </is>
      </c>
      <c r="O83" s="38" t="n"/>
      <c r="P83" s="31" t="n"/>
      <c r="Q83" s="11" t="inlineStr">
        <is>
          <t>Primeiro contato</t>
        </is>
      </c>
      <c r="R83" s="38" t="n"/>
      <c r="S83" s="11" t="n"/>
      <c r="T83" s="11" t="inlineStr">
        <is>
          <t>Tier 3 (varredura TomTom 2026-08-29, PR #185). Qualificacao: site próprio.</t>
        </is>
      </c>
    </row>
    <row r="84">
      <c r="A84" s="25">
        <f>IF($B84="","",ROW()-1)</f>
        <v/>
      </c>
      <c r="B84" s="27" t="inlineStr">
        <is>
          <t>CrossFit Mansion</t>
        </is>
      </c>
      <c r="C84" s="27" t="inlineStr">
        <is>
          <t>São Paulo - Perdizes</t>
        </is>
      </c>
      <c r="D84" s="27" t="n"/>
      <c r="E84" s="27" t="inlineStr">
        <is>
          <t>+55 11 2364-2741</t>
        </is>
      </c>
      <c r="F84" s="28" t="n"/>
      <c r="G84" s="27" t="n"/>
      <c r="H84" s="27" t="n"/>
      <c r="I84" s="27" t="n"/>
      <c r="J84" s="27" t="n"/>
      <c r="K84" s="27" t="inlineStr">
        <is>
          <t>Grande SP</t>
        </is>
      </c>
      <c r="L84" s="25">
        <f>IF($B84="","",IF($F84="",Metodo!$C$30,IF(AND($F84&gt;=80,$F84&lt;=250),Metodo!$C$28,IF(OR(AND($F84&gt;=40,$F84&lt;=79),AND($F84&gt;=251,$F84&lt;=400)),Metodo!$C$29,Metodo!$C$30)))+IFERROR(INDEX(Metodo!$C$32:$C$35,MATCH($G84,Metodo!$B$32:$B$35,0)),0)+COUNTIF($H84:$J84,"Sim")*Metodo!$C$37+IFERROR(INDEX(Metodo!$C$39:$C$41,MATCH($K84,Metodo!$B$39:$B$41,0)),0))</f>
        <v/>
      </c>
      <c r="M84" s="25">
        <f>IF($L84="","",IF($L84&gt;=Metodo!$C$43,"A",IF($L84&gt;=Metodo!$C$44,"B","C")))</f>
        <v/>
      </c>
      <c r="N84" s="27" t="inlineStr">
        <is>
          <t>Nao contatado</t>
        </is>
      </c>
      <c r="O84" s="37" t="n"/>
      <c r="P84" s="28" t="n"/>
      <c r="Q84" s="27" t="inlineStr">
        <is>
          <t>Primeiro contato</t>
        </is>
      </c>
      <c r="R84" s="37" t="n"/>
      <c r="S84" s="27" t="n"/>
      <c r="T84" s="27" t="inlineStr">
        <is>
          <t>Tier 3 (varredura TomTom 2026-08-29, PR #185). Qualificacao: site próprio.</t>
        </is>
      </c>
    </row>
    <row r="85">
      <c r="A85" s="25">
        <f>IF($B85="","",ROW()-1)</f>
        <v/>
      </c>
      <c r="B85" s="11" t="inlineStr">
        <is>
          <t>CrossFit Moema</t>
        </is>
      </c>
      <c r="C85" s="11" t="inlineStr">
        <is>
          <t>São Paulo - Moema</t>
        </is>
      </c>
      <c r="D85" s="11" t="n"/>
      <c r="E85" s="11" t="inlineStr">
        <is>
          <t>+55 11 99359-3910</t>
        </is>
      </c>
      <c r="F85" s="31" t="n"/>
      <c r="G85" s="11" t="n"/>
      <c r="H85" s="11" t="n"/>
      <c r="I85" s="11" t="n"/>
      <c r="J85" s="11" t="n"/>
      <c r="K85" s="11" t="inlineStr">
        <is>
          <t>Grande SP</t>
        </is>
      </c>
      <c r="L85" s="25">
        <f>IF($B85="","",IF($F85="",Metodo!$C$30,IF(AND($F85&gt;=80,$F85&lt;=250),Metodo!$C$28,IF(OR(AND($F85&gt;=40,$F85&lt;=79),AND($F85&gt;=251,$F85&lt;=400)),Metodo!$C$29,Metodo!$C$30)))+IFERROR(INDEX(Metodo!$C$32:$C$35,MATCH($G85,Metodo!$B$32:$B$35,0)),0)+COUNTIF($H85:$J85,"Sim")*Metodo!$C$37+IFERROR(INDEX(Metodo!$C$39:$C$41,MATCH($K85,Metodo!$B$39:$B$41,0)),0))</f>
        <v/>
      </c>
      <c r="M85" s="25">
        <f>IF($L85="","",IF($L85&gt;=Metodo!$C$43,"A",IF($L85&gt;=Metodo!$C$44,"B","C")))</f>
        <v/>
      </c>
      <c r="N85" s="11" t="inlineStr">
        <is>
          <t>Nao contatado</t>
        </is>
      </c>
      <c r="O85" s="38" t="n"/>
      <c r="P85" s="31" t="n"/>
      <c r="Q85" s="11" t="inlineStr">
        <is>
          <t>Primeiro contato</t>
        </is>
      </c>
      <c r="R85" s="38" t="n"/>
      <c r="S85" s="11" t="n"/>
      <c r="T85" s="11" t="inlineStr">
        <is>
          <t>Tier 3 (varredura TomTom 2026-08-29, PR #185). Qualificacao: site próprio.</t>
        </is>
      </c>
    </row>
    <row r="86">
      <c r="A86" s="25">
        <f>IF($B86="","",ROW()-1)</f>
        <v/>
      </c>
      <c r="B86" s="27" t="inlineStr">
        <is>
          <t>CrossFit Perdizes</t>
        </is>
      </c>
      <c r="C86" s="27" t="inlineStr">
        <is>
          <t>São Paulo - Perdizes</t>
        </is>
      </c>
      <c r="D86" s="27" t="n"/>
      <c r="E86" s="27" t="inlineStr">
        <is>
          <t>+55 11 97050-4359</t>
        </is>
      </c>
      <c r="F86" s="28" t="n"/>
      <c r="G86" s="27" t="n"/>
      <c r="H86" s="27" t="n"/>
      <c r="I86" s="27" t="n"/>
      <c r="J86" s="27" t="n"/>
      <c r="K86" s="27" t="inlineStr">
        <is>
          <t>Grande SP</t>
        </is>
      </c>
      <c r="L86" s="25">
        <f>IF($B86="","",IF($F86="",Metodo!$C$30,IF(AND($F86&gt;=80,$F86&lt;=250),Metodo!$C$28,IF(OR(AND($F86&gt;=40,$F86&lt;=79),AND($F86&gt;=251,$F86&lt;=400)),Metodo!$C$29,Metodo!$C$30)))+IFERROR(INDEX(Metodo!$C$32:$C$35,MATCH($G86,Metodo!$B$32:$B$35,0)),0)+COUNTIF($H86:$J86,"Sim")*Metodo!$C$37+IFERROR(INDEX(Metodo!$C$39:$C$41,MATCH($K86,Metodo!$B$39:$B$41,0)),0))</f>
        <v/>
      </c>
      <c r="M86" s="25">
        <f>IF($L86="","",IF($L86&gt;=Metodo!$C$43,"A",IF($L86&gt;=Metodo!$C$44,"B","C")))</f>
        <v/>
      </c>
      <c r="N86" s="27" t="inlineStr">
        <is>
          <t>Nao contatado</t>
        </is>
      </c>
      <c r="O86" s="37" t="n"/>
      <c r="P86" s="28" t="n"/>
      <c r="Q86" s="27" t="inlineStr">
        <is>
          <t>Primeiro contato</t>
        </is>
      </c>
      <c r="R86" s="37" t="n"/>
      <c r="S86" s="27" t="n"/>
      <c r="T86" s="27" t="inlineStr">
        <is>
          <t>Tier 3 (varredura TomTom 2026-08-29, PR #185). Qualificacao: site próprio.</t>
        </is>
      </c>
    </row>
    <row r="87">
      <c r="A87" s="25">
        <f>IF($B87="","",ROW()-1)</f>
        <v/>
      </c>
      <c r="B87" s="11" t="inlineStr">
        <is>
          <t>CrossFit Pinheiros</t>
        </is>
      </c>
      <c r="C87" s="11" t="inlineStr">
        <is>
          <t>São Paulo - Pinheiros</t>
        </is>
      </c>
      <c r="D87" s="11" t="n"/>
      <c r="E87" s="11" t="inlineStr">
        <is>
          <t>+55 11 98244-3068</t>
        </is>
      </c>
      <c r="F87" s="31" t="n"/>
      <c r="G87" s="11" t="n"/>
      <c r="H87" s="11" t="n"/>
      <c r="I87" s="11" t="n"/>
      <c r="J87" s="11" t="n"/>
      <c r="K87" s="11" t="inlineStr">
        <is>
          <t>Grande SP</t>
        </is>
      </c>
      <c r="L87" s="25">
        <f>IF($B87="","",IF($F87="",Metodo!$C$30,IF(AND($F87&gt;=80,$F87&lt;=250),Metodo!$C$28,IF(OR(AND($F87&gt;=40,$F87&lt;=79),AND($F87&gt;=251,$F87&lt;=400)),Metodo!$C$29,Metodo!$C$30)))+IFERROR(INDEX(Metodo!$C$32:$C$35,MATCH($G87,Metodo!$B$32:$B$35,0)),0)+COUNTIF($H87:$J87,"Sim")*Metodo!$C$37+IFERROR(INDEX(Metodo!$C$39:$C$41,MATCH($K87,Metodo!$B$39:$B$41,0)),0))</f>
        <v/>
      </c>
      <c r="M87" s="25">
        <f>IF($L87="","",IF($L87&gt;=Metodo!$C$43,"A",IF($L87&gt;=Metodo!$C$44,"B","C")))</f>
        <v/>
      </c>
      <c r="N87" s="11" t="inlineStr">
        <is>
          <t>Nao contatado</t>
        </is>
      </c>
      <c r="O87" s="38" t="n"/>
      <c r="P87" s="31" t="n"/>
      <c r="Q87" s="11" t="inlineStr">
        <is>
          <t>Primeiro contato</t>
        </is>
      </c>
      <c r="R87" s="38" t="n"/>
      <c r="S87" s="11" t="n"/>
      <c r="T87" s="11" t="inlineStr">
        <is>
          <t>Tier 3 (varredura TomTom 2026-08-29, PR #185). Qualificacao: site próprio.</t>
        </is>
      </c>
    </row>
    <row r="88">
      <c r="A88" s="25">
        <f>IF($B88="","",ROW()-1)</f>
        <v/>
      </c>
      <c r="B88" s="27" t="inlineStr">
        <is>
          <t>CrossFit SP</t>
        </is>
      </c>
      <c r="C88" s="27" t="inlineStr">
        <is>
          <t>São Paulo - Itaim Bibi</t>
        </is>
      </c>
      <c r="D88" s="27" t="n"/>
      <c r="E88" s="27" t="inlineStr">
        <is>
          <t>+55 11 99229-6469</t>
        </is>
      </c>
      <c r="F88" s="28" t="n"/>
      <c r="G88" s="27" t="n"/>
      <c r="H88" s="27" t="n"/>
      <c r="I88" s="27" t="n"/>
      <c r="J88" s="27" t="n"/>
      <c r="K88" s="27" t="inlineStr">
        <is>
          <t>Grande SP</t>
        </is>
      </c>
      <c r="L88" s="25">
        <f>IF($B88="","",IF($F88="",Metodo!$C$30,IF(AND($F88&gt;=80,$F88&lt;=250),Metodo!$C$28,IF(OR(AND($F88&gt;=40,$F88&lt;=79),AND($F88&gt;=251,$F88&lt;=400)),Metodo!$C$29,Metodo!$C$30)))+IFERROR(INDEX(Metodo!$C$32:$C$35,MATCH($G88,Metodo!$B$32:$B$35,0)),0)+COUNTIF($H88:$J88,"Sim")*Metodo!$C$37+IFERROR(INDEX(Metodo!$C$39:$C$41,MATCH($K88,Metodo!$B$39:$B$41,0)),0))</f>
        <v/>
      </c>
      <c r="M88" s="25">
        <f>IF($L88="","",IF($L88&gt;=Metodo!$C$43,"A",IF($L88&gt;=Metodo!$C$44,"B","C")))</f>
        <v/>
      </c>
      <c r="N88" s="27" t="inlineStr">
        <is>
          <t>Nao contatado</t>
        </is>
      </c>
      <c r="O88" s="37" t="n"/>
      <c r="P88" s="28" t="n"/>
      <c r="Q88" s="27" t="inlineStr">
        <is>
          <t>Primeiro contato</t>
        </is>
      </c>
      <c r="R88" s="37" t="n"/>
      <c r="S88" s="27" t="n"/>
      <c r="T88" s="27" t="inlineStr">
        <is>
          <t>Tier 3 (varredura TomTom 2026-08-29, PR #185). Qualificacao: site próprio.</t>
        </is>
      </c>
    </row>
    <row r="89">
      <c r="A89" s="25">
        <f>IF($B89="","",ROW()-1)</f>
        <v/>
      </c>
      <c r="B89" s="11" t="inlineStr">
        <is>
          <t>CrossFit Santa Romana</t>
        </is>
      </c>
      <c r="C89" s="11" t="inlineStr">
        <is>
          <t>São Paulo - Pirituba</t>
        </is>
      </c>
      <c r="D89" s="11" t="n"/>
      <c r="E89" s="11" t="inlineStr">
        <is>
          <t>+55 11 98915-9013</t>
        </is>
      </c>
      <c r="F89" s="31" t="n"/>
      <c r="G89" s="11" t="n"/>
      <c r="H89" s="11" t="n"/>
      <c r="I89" s="11" t="n"/>
      <c r="J89" s="11" t="n"/>
      <c r="K89" s="11" t="inlineStr">
        <is>
          <t>Grande SP</t>
        </is>
      </c>
      <c r="L89" s="25">
        <f>IF($B89="","",IF($F89="",Metodo!$C$30,IF(AND($F89&gt;=80,$F89&lt;=250),Metodo!$C$28,IF(OR(AND($F89&gt;=40,$F89&lt;=79),AND($F89&gt;=251,$F89&lt;=400)),Metodo!$C$29,Metodo!$C$30)))+IFERROR(INDEX(Metodo!$C$32:$C$35,MATCH($G89,Metodo!$B$32:$B$35,0)),0)+COUNTIF($H89:$J89,"Sim")*Metodo!$C$37+IFERROR(INDEX(Metodo!$C$39:$C$41,MATCH($K89,Metodo!$B$39:$B$41,0)),0))</f>
        <v/>
      </c>
      <c r="M89" s="25">
        <f>IF($L89="","",IF($L89&gt;=Metodo!$C$43,"A",IF($L89&gt;=Metodo!$C$44,"B","C")))</f>
        <v/>
      </c>
      <c r="N89" s="11" t="inlineStr">
        <is>
          <t>Nao contatado</t>
        </is>
      </c>
      <c r="O89" s="38" t="n"/>
      <c r="P89" s="31" t="n"/>
      <c r="Q89" s="11" t="inlineStr">
        <is>
          <t>Primeiro contato</t>
        </is>
      </c>
      <c r="R89" s="38" t="n"/>
      <c r="S89" s="11" t="n"/>
      <c r="T89" s="11" t="inlineStr">
        <is>
          <t>Tier 3 (varredura TomTom 2026-08-29, PR #185). Qualificacao: site próprio.</t>
        </is>
      </c>
    </row>
    <row r="90">
      <c r="A90" s="25">
        <f>IF($B90="","",ROW()-1)</f>
        <v/>
      </c>
      <c r="B90" s="27" t="inlineStr">
        <is>
          <t>CrossFit Saúde Anchieta</t>
        </is>
      </c>
      <c r="C90" s="27" t="inlineStr">
        <is>
          <t>São Paulo - Sacomã</t>
        </is>
      </c>
      <c r="D90" s="27" t="n"/>
      <c r="E90" s="27" t="inlineStr">
        <is>
          <t>+55 11 94451-9790</t>
        </is>
      </c>
      <c r="F90" s="28" t="n"/>
      <c r="G90" s="27" t="n"/>
      <c r="H90" s="27" t="n"/>
      <c r="I90" s="27" t="n"/>
      <c r="J90" s="27" t="n"/>
      <c r="K90" s="27" t="inlineStr">
        <is>
          <t>Grande SP</t>
        </is>
      </c>
      <c r="L90" s="25">
        <f>IF($B90="","",IF($F90="",Metodo!$C$30,IF(AND($F90&gt;=80,$F90&lt;=250),Metodo!$C$28,IF(OR(AND($F90&gt;=40,$F90&lt;=79),AND($F90&gt;=251,$F90&lt;=400)),Metodo!$C$29,Metodo!$C$30)))+IFERROR(INDEX(Metodo!$C$32:$C$35,MATCH($G90,Metodo!$B$32:$B$35,0)),0)+COUNTIF($H90:$J90,"Sim")*Metodo!$C$37+IFERROR(INDEX(Metodo!$C$39:$C$41,MATCH($K90,Metodo!$B$39:$B$41,0)),0))</f>
        <v/>
      </c>
      <c r="M90" s="25">
        <f>IF($L90="","",IF($L90&gt;=Metodo!$C$43,"A",IF($L90&gt;=Metodo!$C$44,"B","C")))</f>
        <v/>
      </c>
      <c r="N90" s="27" t="inlineStr">
        <is>
          <t>Nao contatado</t>
        </is>
      </c>
      <c r="O90" s="37" t="n"/>
      <c r="P90" s="28" t="n"/>
      <c r="Q90" s="27" t="inlineStr">
        <is>
          <t>Primeiro contato</t>
        </is>
      </c>
      <c r="R90" s="37" t="n"/>
      <c r="S90" s="27" t="n"/>
      <c r="T90" s="27" t="inlineStr">
        <is>
          <t>Tier 3 (varredura TomTom 2026-08-29, PR #185). Qualificacao: site próprio.</t>
        </is>
      </c>
    </row>
    <row r="91">
      <c r="A91" s="25">
        <f>IF($B91="","",ROW()-1)</f>
        <v/>
      </c>
      <c r="B91" s="11" t="inlineStr">
        <is>
          <t>CrossFit Tatuapé</t>
        </is>
      </c>
      <c r="C91" s="11" t="inlineStr">
        <is>
          <t>São Paulo - Tatuapé</t>
        </is>
      </c>
      <c r="D91" s="11" t="n"/>
      <c r="E91" s="11" t="inlineStr">
        <is>
          <t>+55 11 96260-1047</t>
        </is>
      </c>
      <c r="F91" s="31" t="n"/>
      <c r="G91" s="11" t="n"/>
      <c r="H91" s="11" t="n"/>
      <c r="I91" s="11" t="n"/>
      <c r="J91" s="11" t="n"/>
      <c r="K91" s="11" t="inlineStr">
        <is>
          <t>Grande SP</t>
        </is>
      </c>
      <c r="L91" s="25">
        <f>IF($B91="","",IF($F91="",Metodo!$C$30,IF(AND($F91&gt;=80,$F91&lt;=250),Metodo!$C$28,IF(OR(AND($F91&gt;=40,$F91&lt;=79),AND($F91&gt;=251,$F91&lt;=400)),Metodo!$C$29,Metodo!$C$30)))+IFERROR(INDEX(Metodo!$C$32:$C$35,MATCH($G91,Metodo!$B$32:$B$35,0)),0)+COUNTIF($H91:$J91,"Sim")*Metodo!$C$37+IFERROR(INDEX(Metodo!$C$39:$C$41,MATCH($K91,Metodo!$B$39:$B$41,0)),0))</f>
        <v/>
      </c>
      <c r="M91" s="25">
        <f>IF($L91="","",IF($L91&gt;=Metodo!$C$43,"A",IF($L91&gt;=Metodo!$C$44,"B","C")))</f>
        <v/>
      </c>
      <c r="N91" s="11" t="inlineStr">
        <is>
          <t>Nao contatado</t>
        </is>
      </c>
      <c r="O91" s="38" t="n"/>
      <c r="P91" s="31" t="n"/>
      <c r="Q91" s="11" t="inlineStr">
        <is>
          <t>Primeiro contato</t>
        </is>
      </c>
      <c r="R91" s="38" t="n"/>
      <c r="S91" s="11" t="n"/>
      <c r="T91" s="11" t="inlineStr">
        <is>
          <t>Tier 3 (varredura TomTom 2026-08-29, PR #185). Qualificacao: site próprio.</t>
        </is>
      </c>
    </row>
    <row r="92">
      <c r="A92" s="25">
        <f>IF($B92="","",ROW()-1)</f>
        <v/>
      </c>
      <c r="B92" s="27" t="inlineStr">
        <is>
          <t>CrossFit Teina</t>
        </is>
      </c>
      <c r="C92" s="27" t="inlineStr">
        <is>
          <t>São Paulo - Ipiranga</t>
        </is>
      </c>
      <c r="D92" s="27" t="n"/>
      <c r="E92" s="27" t="inlineStr">
        <is>
          <t>+55 11 99887-1523</t>
        </is>
      </c>
      <c r="F92" s="28" t="n"/>
      <c r="G92" s="27" t="n"/>
      <c r="H92" s="27" t="n"/>
      <c r="I92" s="27" t="n"/>
      <c r="J92" s="27" t="n"/>
      <c r="K92" s="27" t="inlineStr">
        <is>
          <t>Grande SP</t>
        </is>
      </c>
      <c r="L92" s="25">
        <f>IF($B92="","",IF($F92="",Metodo!$C$30,IF(AND($F92&gt;=80,$F92&lt;=250),Metodo!$C$28,IF(OR(AND($F92&gt;=40,$F92&lt;=79),AND($F92&gt;=251,$F92&lt;=400)),Metodo!$C$29,Metodo!$C$30)))+IFERROR(INDEX(Metodo!$C$32:$C$35,MATCH($G92,Metodo!$B$32:$B$35,0)),0)+COUNTIF($H92:$J92,"Sim")*Metodo!$C$37+IFERROR(INDEX(Metodo!$C$39:$C$41,MATCH($K92,Metodo!$B$39:$B$41,0)),0))</f>
        <v/>
      </c>
      <c r="M92" s="25">
        <f>IF($L92="","",IF($L92&gt;=Metodo!$C$43,"A",IF($L92&gt;=Metodo!$C$44,"B","C")))</f>
        <v/>
      </c>
      <c r="N92" s="27" t="inlineStr">
        <is>
          <t>Nao contatado</t>
        </is>
      </c>
      <c r="O92" s="37" t="n"/>
      <c r="P92" s="28" t="n"/>
      <c r="Q92" s="27" t="inlineStr">
        <is>
          <t>Primeiro contato</t>
        </is>
      </c>
      <c r="R92" s="37" t="n"/>
      <c r="S92" s="27" t="n"/>
      <c r="T92" s="27" t="inlineStr">
        <is>
          <t>Tier 3 (varredura TomTom 2026-08-29, PR #185). Qualificacao: site próprio.</t>
        </is>
      </c>
    </row>
    <row r="93">
      <c r="A93" s="25">
        <f>IF($B93="","",ROW()-1)</f>
        <v/>
      </c>
      <c r="B93" s="11" t="inlineStr">
        <is>
          <t>CrossFit Volk</t>
        </is>
      </c>
      <c r="C93" s="11" t="inlineStr">
        <is>
          <t>São Paulo - Vila Mariana</t>
        </is>
      </c>
      <c r="D93" s="11" t="n"/>
      <c r="E93" s="11" t="inlineStr">
        <is>
          <t>+55 11 2619-1038</t>
        </is>
      </c>
      <c r="F93" s="31" t="n"/>
      <c r="G93" s="11" t="n"/>
      <c r="H93" s="11" t="n"/>
      <c r="I93" s="11" t="n"/>
      <c r="J93" s="11" t="n"/>
      <c r="K93" s="11" t="inlineStr">
        <is>
          <t>Grande SP</t>
        </is>
      </c>
      <c r="L93" s="25">
        <f>IF($B93="","",IF($F93="",Metodo!$C$30,IF(AND($F93&gt;=80,$F93&lt;=250),Metodo!$C$28,IF(OR(AND($F93&gt;=40,$F93&lt;=79),AND($F93&gt;=251,$F93&lt;=400)),Metodo!$C$29,Metodo!$C$30)))+IFERROR(INDEX(Metodo!$C$32:$C$35,MATCH($G93,Metodo!$B$32:$B$35,0)),0)+COUNTIF($H93:$J93,"Sim")*Metodo!$C$37+IFERROR(INDEX(Metodo!$C$39:$C$41,MATCH($K93,Metodo!$B$39:$B$41,0)),0))</f>
        <v/>
      </c>
      <c r="M93" s="25">
        <f>IF($L93="","",IF($L93&gt;=Metodo!$C$43,"A",IF($L93&gt;=Metodo!$C$44,"B","C")))</f>
        <v/>
      </c>
      <c r="N93" s="11" t="inlineStr">
        <is>
          <t>Nao contatado</t>
        </is>
      </c>
      <c r="O93" s="38" t="n"/>
      <c r="P93" s="31" t="n"/>
      <c r="Q93" s="11" t="inlineStr">
        <is>
          <t>Primeiro contato</t>
        </is>
      </c>
      <c r="R93" s="38" t="n"/>
      <c r="S93" s="11" t="n"/>
      <c r="T93" s="11" t="inlineStr">
        <is>
          <t>Tier 3 (varredura TomTom 2026-08-29, PR #185). Qualificacao: site próprio.</t>
        </is>
      </c>
    </row>
    <row r="94">
      <c r="A94" s="25">
        <f>IF($B94="","",ROW()-1)</f>
        <v/>
      </c>
      <c r="B94" s="27" t="inlineStr">
        <is>
          <t>CrossFit ZN 2</t>
        </is>
      </c>
      <c r="C94" s="27" t="inlineStr">
        <is>
          <t>São Paulo - Tucuruvi</t>
        </is>
      </c>
      <c r="D94" s="27" t="inlineStr">
        <is>
          <t>@ct_zn_</t>
        </is>
      </c>
      <c r="E94" s="27" t="inlineStr">
        <is>
          <t>+55 11 99906-2601</t>
        </is>
      </c>
      <c r="F94" s="28" t="n"/>
      <c r="G94" s="27" t="n"/>
      <c r="H94" s="27" t="n"/>
      <c r="I94" s="27" t="n"/>
      <c r="J94" s="27" t="n"/>
      <c r="K94" s="27" t="inlineStr">
        <is>
          <t>Grande SP</t>
        </is>
      </c>
      <c r="L94" s="25">
        <f>IF($B94="","",IF($F94="",Metodo!$C$30,IF(AND($F94&gt;=80,$F94&lt;=250),Metodo!$C$28,IF(OR(AND($F94&gt;=40,$F94&lt;=79),AND($F94&gt;=251,$F94&lt;=400)),Metodo!$C$29,Metodo!$C$30)))+IFERROR(INDEX(Metodo!$C$32:$C$35,MATCH($G94,Metodo!$B$32:$B$35,0)),0)+COUNTIF($H94:$J94,"Sim")*Metodo!$C$37+IFERROR(INDEX(Metodo!$C$39:$C$41,MATCH($K94,Metodo!$B$39:$B$41,0)),0))</f>
        <v/>
      </c>
      <c r="M94" s="25">
        <f>IF($L94="","",IF($L94&gt;=Metodo!$C$43,"A",IF($L94&gt;=Metodo!$C$44,"B","C")))</f>
        <v/>
      </c>
      <c r="N94" s="27" t="inlineStr">
        <is>
          <t>Nao contatado</t>
        </is>
      </c>
      <c r="O94" s="37" t="n"/>
      <c r="P94" s="28" t="n"/>
      <c r="Q94" s="27" t="inlineStr">
        <is>
          <t>Primeiro contato</t>
        </is>
      </c>
      <c r="R94" s="37" t="n"/>
      <c r="S94" s="27" t="n"/>
      <c r="T94" s="27" t="inlineStr">
        <is>
          <t>Tier 3 (varredura TomTom 2026-08-29, PR #185). Qualificacao: site proprio. Instagram @ct_zn_, Tucuruvi. Box competitivo - participa de Open e challenges internos. Cuidado: existe outro lead "Crossfit Zn" (linha 113, Santana) com nome parecido mas telefone diferente - nao confundir na abordagem.</t>
        </is>
      </c>
    </row>
    <row r="95">
      <c r="A95" s="25">
        <f>IF($B95="","",ROW()-1)</f>
        <v/>
      </c>
      <c r="B95" s="11" t="inlineStr">
        <is>
          <t>Crossfit 79</t>
        </is>
      </c>
      <c r="C95" s="11" t="inlineStr">
        <is>
          <t>São Paulo - Pinheiros</t>
        </is>
      </c>
      <c r="D95" s="11" t="n"/>
      <c r="E95" s="11" t="inlineStr">
        <is>
          <t>+55 11 3853-5042</t>
        </is>
      </c>
      <c r="F95" s="31" t="n"/>
      <c r="G95" s="11" t="n"/>
      <c r="H95" s="11" t="n"/>
      <c r="I95" s="11" t="n"/>
      <c r="J95" s="11" t="n"/>
      <c r="K95" s="11" t="inlineStr">
        <is>
          <t>Grande SP</t>
        </is>
      </c>
      <c r="L95" s="25">
        <f>IF($B95="","",IF($F95="",Metodo!$C$30,IF(AND($F95&gt;=80,$F95&lt;=250),Metodo!$C$28,IF(OR(AND($F95&gt;=40,$F95&lt;=79),AND($F95&gt;=251,$F95&lt;=400)),Metodo!$C$29,Metodo!$C$30)))+IFERROR(INDEX(Metodo!$C$32:$C$35,MATCH($G95,Metodo!$B$32:$B$35,0)),0)+COUNTIF($H95:$J95,"Sim")*Metodo!$C$37+IFERROR(INDEX(Metodo!$C$39:$C$41,MATCH($K95,Metodo!$B$39:$B$41,0)),0))</f>
        <v/>
      </c>
      <c r="M95" s="25">
        <f>IF($L95="","",IF($L95&gt;=Metodo!$C$43,"A",IF($L95&gt;=Metodo!$C$44,"B","C")))</f>
        <v/>
      </c>
      <c r="N95" s="11" t="inlineStr">
        <is>
          <t>Nao contatado</t>
        </is>
      </c>
      <c r="O95" s="38" t="n"/>
      <c r="P95" s="31" t="n"/>
      <c r="Q95" s="11" t="inlineStr">
        <is>
          <t>Primeiro contato</t>
        </is>
      </c>
      <c r="R95" s="38" t="n"/>
      <c r="S95" s="11" t="n"/>
      <c r="T95" s="11" t="inlineStr">
        <is>
          <t>Tier 3 (varredura TomTom 2026-08-29, PR #185). Qualificacao: site próprio.</t>
        </is>
      </c>
    </row>
    <row r="96">
      <c r="A96" s="25">
        <f>IF($B96="","",ROW()-1)</f>
        <v/>
      </c>
      <c r="B96" s="27" t="inlineStr">
        <is>
          <t>Crossfit Academia para Mulheres</t>
        </is>
      </c>
      <c r="C96" s="27" t="inlineStr">
        <is>
          <t>São Paulo - Sapopemba</t>
        </is>
      </c>
      <c r="D96" s="27" t="n"/>
      <c r="E96" s="27" t="inlineStr">
        <is>
          <t>+55 14 99153-0682</t>
        </is>
      </c>
      <c r="F96" s="28" t="n"/>
      <c r="G96" s="27" t="n"/>
      <c r="H96" s="27" t="n"/>
      <c r="I96" s="27" t="n"/>
      <c r="J96" s="27" t="n"/>
      <c r="K96" s="27" t="inlineStr">
        <is>
          <t>Grande SP</t>
        </is>
      </c>
      <c r="L96" s="25">
        <f>IF($B96="","",IF($F96="",Metodo!$C$30,IF(AND($F96&gt;=80,$F96&lt;=250),Metodo!$C$28,IF(OR(AND($F96&gt;=40,$F96&lt;=79),AND($F96&gt;=251,$F96&lt;=400)),Metodo!$C$29,Metodo!$C$30)))+IFERROR(INDEX(Metodo!$C$32:$C$35,MATCH($G96,Metodo!$B$32:$B$35,0)),0)+COUNTIF($H96:$J96,"Sim")*Metodo!$C$37+IFERROR(INDEX(Metodo!$C$39:$C$41,MATCH($K96,Metodo!$B$39:$B$41,0)),0))</f>
        <v/>
      </c>
      <c r="M96" s="25">
        <f>IF($L96="","",IF($L96&gt;=Metodo!$C$43,"A",IF($L96&gt;=Metodo!$C$44,"B","C")))</f>
        <v/>
      </c>
      <c r="N96" s="27" t="inlineStr">
        <is>
          <t>Nao contatado</t>
        </is>
      </c>
      <c r="O96" s="37" t="n"/>
      <c r="P96" s="28" t="n"/>
      <c r="Q96" s="27" t="inlineStr">
        <is>
          <t>Primeiro contato</t>
        </is>
      </c>
      <c r="R96" s="37" t="n"/>
      <c r="S96" s="27" t="n"/>
      <c r="T96" s="27" t="inlineStr">
        <is>
          <t>Tier 3 (varredura TomTom 2026-08-29, PR #185). Qualificacao: sem site.</t>
        </is>
      </c>
    </row>
    <row r="97">
      <c r="A97" s="25">
        <f>IF($B97="","",ROW()-1)</f>
        <v/>
      </c>
      <c r="B97" s="11" t="inlineStr">
        <is>
          <t>Crossfit Bizarro</t>
        </is>
      </c>
      <c r="C97" s="11" t="inlineStr">
        <is>
          <t>São Paulo - Mandaqui</t>
        </is>
      </c>
      <c r="D97" s="11" t="n"/>
      <c r="E97" s="11" t="n"/>
      <c r="F97" s="31" t="n"/>
      <c r="G97" s="11" t="n"/>
      <c r="H97" s="11" t="n"/>
      <c r="I97" s="11" t="n"/>
      <c r="J97" s="11" t="n"/>
      <c r="K97" s="11" t="inlineStr">
        <is>
          <t>Grande SP</t>
        </is>
      </c>
      <c r="L97" s="25">
        <f>IF($B97="","",IF($F97="",Metodo!$C$30,IF(AND($F97&gt;=80,$F97&lt;=250),Metodo!$C$28,IF(OR(AND($F97&gt;=40,$F97&lt;=79),AND($F97&gt;=251,$F97&lt;=400)),Metodo!$C$29,Metodo!$C$30)))+IFERROR(INDEX(Metodo!$C$32:$C$35,MATCH($G97,Metodo!$B$32:$B$35,0)),0)+COUNTIF($H97:$J97,"Sim")*Metodo!$C$37+IFERROR(INDEX(Metodo!$C$39:$C$41,MATCH($K97,Metodo!$B$39:$B$41,0)),0))</f>
        <v/>
      </c>
      <c r="M97" s="25">
        <f>IF($L97="","",IF($L97&gt;=Metodo!$C$43,"A",IF($L97&gt;=Metodo!$C$44,"B","C")))</f>
        <v/>
      </c>
      <c r="N97" s="11" t="inlineStr">
        <is>
          <t>Nao contatado</t>
        </is>
      </c>
      <c r="O97" s="38" t="n"/>
      <c r="P97" s="31" t="n"/>
      <c r="Q97" s="11" t="inlineStr">
        <is>
          <t>Achar contato</t>
        </is>
      </c>
      <c r="R97" s="38" t="n"/>
      <c r="S97" s="11" t="n"/>
      <c r="T97" s="11" t="inlineStr">
        <is>
          <t>Tier 3 (varredura TomTom 2026-08-29, PR #185). Qualificacao: sem site.</t>
        </is>
      </c>
    </row>
    <row r="98">
      <c r="A98" s="25">
        <f>IF($B98="","",ROW()-1)</f>
        <v/>
      </c>
      <c r="B98" s="27" t="inlineStr">
        <is>
          <t>Crossfit Caveira</t>
        </is>
      </c>
      <c r="C98" s="27" t="inlineStr">
        <is>
          <t>São Paulo - Butantã</t>
        </is>
      </c>
      <c r="D98" s="27" t="n"/>
      <c r="E98" s="27" t="inlineStr">
        <is>
          <t>+55 11 3213-4611</t>
        </is>
      </c>
      <c r="F98" s="28" t="n"/>
      <c r="G98" s="27" t="n"/>
      <c r="H98" s="27" t="n"/>
      <c r="I98" s="27" t="n"/>
      <c r="J98" s="27" t="n"/>
      <c r="K98" s="27" t="inlineStr">
        <is>
          <t>Grande SP</t>
        </is>
      </c>
      <c r="L98" s="25">
        <f>IF($B98="","",IF($F98="",Metodo!$C$30,IF(AND($F98&gt;=80,$F98&lt;=250),Metodo!$C$28,IF(OR(AND($F98&gt;=40,$F98&lt;=79),AND($F98&gt;=251,$F98&lt;=400)),Metodo!$C$29,Metodo!$C$30)))+IFERROR(INDEX(Metodo!$C$32:$C$35,MATCH($G98,Metodo!$B$32:$B$35,0)),0)+COUNTIF($H98:$J98,"Sim")*Metodo!$C$37+IFERROR(INDEX(Metodo!$C$39:$C$41,MATCH($K98,Metodo!$B$39:$B$41,0)),0))</f>
        <v/>
      </c>
      <c r="M98" s="25">
        <f>IF($L98="","",IF($L98&gt;=Metodo!$C$43,"A",IF($L98&gt;=Metodo!$C$44,"B","C")))</f>
        <v/>
      </c>
      <c r="N98" s="27" t="inlineStr">
        <is>
          <t>Nao contatado</t>
        </is>
      </c>
      <c r="O98" s="37" t="n"/>
      <c r="P98" s="28" t="n"/>
      <c r="Q98" s="27" t="inlineStr">
        <is>
          <t>Primeiro contato</t>
        </is>
      </c>
      <c r="R98" s="37" t="n"/>
      <c r="S98" s="27" t="n"/>
      <c r="T98" s="27" t="inlineStr">
        <is>
          <t>Tier 3 (varredura TomTom 2026-08-29, PR #185). Qualificacao: site próprio.</t>
        </is>
      </c>
    </row>
    <row r="99">
      <c r="A99" s="25">
        <f>IF($B99="","",ROW()-1)</f>
        <v/>
      </c>
      <c r="B99" s="11" t="inlineStr">
        <is>
          <t>Crossfit Ki</t>
        </is>
      </c>
      <c r="C99" s="11" t="inlineStr">
        <is>
          <t>São Paulo - Vila Mariana</t>
        </is>
      </c>
      <c r="D99" s="11" t="n"/>
      <c r="E99" s="11" t="inlineStr">
        <is>
          <t>+55 11 96574-6947</t>
        </is>
      </c>
      <c r="F99" s="31" t="n"/>
      <c r="G99" s="11" t="n"/>
      <c r="H99" s="11" t="n"/>
      <c r="I99" s="11" t="n"/>
      <c r="J99" s="11" t="n"/>
      <c r="K99" s="11" t="inlineStr">
        <is>
          <t>Grande SP</t>
        </is>
      </c>
      <c r="L99" s="25">
        <f>IF($B99="","",IF($F99="",Metodo!$C$30,IF(AND($F99&gt;=80,$F99&lt;=250),Metodo!$C$28,IF(OR(AND($F99&gt;=40,$F99&lt;=79),AND($F99&gt;=251,$F99&lt;=400)),Metodo!$C$29,Metodo!$C$30)))+IFERROR(INDEX(Metodo!$C$32:$C$35,MATCH($G99,Metodo!$B$32:$B$35,0)),0)+COUNTIF($H99:$J99,"Sim")*Metodo!$C$37+IFERROR(INDEX(Metodo!$C$39:$C$41,MATCH($K99,Metodo!$B$39:$B$41,0)),0))</f>
        <v/>
      </c>
      <c r="M99" s="25">
        <f>IF($L99="","",IF($L99&gt;=Metodo!$C$43,"A",IF($L99&gt;=Metodo!$C$44,"B","C")))</f>
        <v/>
      </c>
      <c r="N99" s="11" t="inlineStr">
        <is>
          <t>Nao contatado</t>
        </is>
      </c>
      <c r="O99" s="38" t="n"/>
      <c r="P99" s="31" t="n"/>
      <c r="Q99" s="11" t="inlineStr">
        <is>
          <t>Primeiro contato</t>
        </is>
      </c>
      <c r="R99" s="38" t="n"/>
      <c r="S99" s="11" t="n"/>
      <c r="T99" s="11" t="inlineStr">
        <is>
          <t>Tier 3 (varredura TomTom 2026-08-29, PR #185). Qualificacao: site próprio.</t>
        </is>
      </c>
    </row>
    <row r="100">
      <c r="A100" s="25">
        <f>IF($B100="","",ROW()-1)</f>
        <v/>
      </c>
      <c r="B100" s="27" t="inlineStr">
        <is>
          <t>Crossfit Mazzei</t>
        </is>
      </c>
      <c r="C100" s="27" t="inlineStr">
        <is>
          <t>São Paulo - Tremembe</t>
        </is>
      </c>
      <c r="D100" s="27" t="n"/>
      <c r="E100" s="27" t="n"/>
      <c r="F100" s="28" t="n"/>
      <c r="G100" s="27" t="n"/>
      <c r="H100" s="27" t="n"/>
      <c r="I100" s="27" t="n"/>
      <c r="J100" s="27" t="n"/>
      <c r="K100" s="27" t="inlineStr">
        <is>
          <t>Grande SP</t>
        </is>
      </c>
      <c r="L100" s="25">
        <f>IF($B100="","",IF($F100="",Metodo!$C$30,IF(AND($F100&gt;=80,$F100&lt;=250),Metodo!$C$28,IF(OR(AND($F100&gt;=40,$F100&lt;=79),AND($F100&gt;=251,$F100&lt;=400)),Metodo!$C$29,Metodo!$C$30)))+IFERROR(INDEX(Metodo!$C$32:$C$35,MATCH($G100,Metodo!$B$32:$B$35,0)),0)+COUNTIF($H100:$J100,"Sim")*Metodo!$C$37+IFERROR(INDEX(Metodo!$C$39:$C$41,MATCH($K100,Metodo!$B$39:$B$41,0)),0))</f>
        <v/>
      </c>
      <c r="M100" s="25">
        <f>IF($L100="","",IF($L100&gt;=Metodo!$C$43,"A",IF($L100&gt;=Metodo!$C$44,"B","C")))</f>
        <v/>
      </c>
      <c r="N100" s="27" t="inlineStr">
        <is>
          <t>Nao contatado</t>
        </is>
      </c>
      <c r="O100" s="37" t="n"/>
      <c r="P100" s="28" t="n"/>
      <c r="Q100" s="27" t="inlineStr">
        <is>
          <t>Achar contato</t>
        </is>
      </c>
      <c r="R100" s="37" t="n"/>
      <c r="S100" s="27" t="n"/>
      <c r="T100" s="27" t="inlineStr">
        <is>
          <t>Tier 3 (varredura TomTom 2026-08-29, PR #185). Qualificacao: sem site.</t>
        </is>
      </c>
    </row>
    <row r="101">
      <c r="A101" s="25">
        <f>IF($B101="","",ROW()-1)</f>
        <v/>
      </c>
      <c r="B101" s="11" t="inlineStr">
        <is>
          <t>Crossfit Mister</t>
        </is>
      </c>
      <c r="C101" s="11" t="inlineStr">
        <is>
          <t>São Paulo - Vila Formosa</t>
        </is>
      </c>
      <c r="D101" s="11" t="n"/>
      <c r="E101" s="11" t="inlineStr">
        <is>
          <t>+55 11 91089-2010</t>
        </is>
      </c>
      <c r="F101" s="31" t="n"/>
      <c r="G101" s="11" t="n"/>
      <c r="H101" s="11" t="n"/>
      <c r="I101" s="11" t="n"/>
      <c r="J101" s="11" t="n"/>
      <c r="K101" s="11" t="inlineStr">
        <is>
          <t>Grande SP</t>
        </is>
      </c>
      <c r="L101" s="25">
        <f>IF($B101="","",IF($F101="",Metodo!$C$30,IF(AND($F101&gt;=80,$F101&lt;=250),Metodo!$C$28,IF(OR(AND($F101&gt;=40,$F101&lt;=79),AND($F101&gt;=251,$F101&lt;=400)),Metodo!$C$29,Metodo!$C$30)))+IFERROR(INDEX(Metodo!$C$32:$C$35,MATCH($G101,Metodo!$B$32:$B$35,0)),0)+COUNTIF($H101:$J101,"Sim")*Metodo!$C$37+IFERROR(INDEX(Metodo!$C$39:$C$41,MATCH($K101,Metodo!$B$39:$B$41,0)),0))</f>
        <v/>
      </c>
      <c r="M101" s="25">
        <f>IF($L101="","",IF($L101&gt;=Metodo!$C$43,"A",IF($L101&gt;=Metodo!$C$44,"B","C")))</f>
        <v/>
      </c>
      <c r="N101" s="11" t="inlineStr">
        <is>
          <t>Nao contatado</t>
        </is>
      </c>
      <c r="O101" s="38" t="n"/>
      <c r="P101" s="31" t="n"/>
      <c r="Q101" s="11" t="inlineStr">
        <is>
          <t>Primeiro contato</t>
        </is>
      </c>
      <c r="R101" s="38" t="n"/>
      <c r="S101" s="11" t="n"/>
      <c r="T101" s="11" t="inlineStr">
        <is>
          <t>Tier 3 (varredura TomTom 2026-08-29, PR #185). Qualificacao: site próprio.</t>
        </is>
      </c>
    </row>
    <row r="102">
      <c r="A102" s="25">
        <f>IF($B102="","",ROW()-1)</f>
        <v/>
      </c>
      <c r="B102" s="27" t="inlineStr">
        <is>
          <t>Crossfit Mitra</t>
        </is>
      </c>
      <c r="C102" s="27" t="inlineStr">
        <is>
          <t>São Paulo - Campo Belo</t>
        </is>
      </c>
      <c r="D102" s="27" t="n"/>
      <c r="E102" s="27" t="inlineStr">
        <is>
          <t>+55 11 98781-8553</t>
        </is>
      </c>
      <c r="F102" s="28" t="n"/>
      <c r="G102" s="27" t="n"/>
      <c r="H102" s="27" t="n"/>
      <c r="I102" s="27" t="n"/>
      <c r="J102" s="27" t="n"/>
      <c r="K102" s="27" t="inlineStr">
        <is>
          <t>Grande SP</t>
        </is>
      </c>
      <c r="L102" s="25">
        <f>IF($B102="","",IF($F102="",Metodo!$C$30,IF(AND($F102&gt;=80,$F102&lt;=250),Metodo!$C$28,IF(OR(AND($F102&gt;=40,$F102&lt;=79),AND($F102&gt;=251,$F102&lt;=400)),Metodo!$C$29,Metodo!$C$30)))+IFERROR(INDEX(Metodo!$C$32:$C$35,MATCH($G102,Metodo!$B$32:$B$35,0)),0)+COUNTIF($H102:$J102,"Sim")*Metodo!$C$37+IFERROR(INDEX(Metodo!$C$39:$C$41,MATCH($K102,Metodo!$B$39:$B$41,0)),0))</f>
        <v/>
      </c>
      <c r="M102" s="25">
        <f>IF($L102="","",IF($L102&gt;=Metodo!$C$43,"A",IF($L102&gt;=Metodo!$C$44,"B","C")))</f>
        <v/>
      </c>
      <c r="N102" s="27" t="inlineStr">
        <is>
          <t>Nao contatado</t>
        </is>
      </c>
      <c r="O102" s="37" t="n"/>
      <c r="P102" s="28" t="n"/>
      <c r="Q102" s="27" t="inlineStr">
        <is>
          <t>Primeiro contato</t>
        </is>
      </c>
      <c r="R102" s="37" t="n"/>
      <c r="S102" s="27" t="n"/>
      <c r="T102" s="27" t="inlineStr">
        <is>
          <t>Tier 3 (varredura TomTom 2026-08-29, PR #185). Qualificacao: site próprio.</t>
        </is>
      </c>
    </row>
    <row r="103">
      <c r="A103" s="25">
        <f>IF($B103="","",ROW()-1)</f>
        <v/>
      </c>
      <c r="B103" s="11" t="inlineStr">
        <is>
          <t>Crossfit Norte</t>
        </is>
      </c>
      <c r="C103" s="11" t="inlineStr">
        <is>
          <t>São Paulo - Mandaqui</t>
        </is>
      </c>
      <c r="D103" s="11" t="n"/>
      <c r="E103" s="11" t="n"/>
      <c r="F103" s="31" t="n"/>
      <c r="G103" s="11" t="n"/>
      <c r="H103" s="11" t="n"/>
      <c r="I103" s="11" t="n"/>
      <c r="J103" s="11" t="n"/>
      <c r="K103" s="11" t="inlineStr">
        <is>
          <t>Grande SP</t>
        </is>
      </c>
      <c r="L103" s="25">
        <f>IF($B103="","",IF($F103="",Metodo!$C$30,IF(AND($F103&gt;=80,$F103&lt;=250),Metodo!$C$28,IF(OR(AND($F103&gt;=40,$F103&lt;=79),AND($F103&gt;=251,$F103&lt;=400)),Metodo!$C$29,Metodo!$C$30)))+IFERROR(INDEX(Metodo!$C$32:$C$35,MATCH($G103,Metodo!$B$32:$B$35,0)),0)+COUNTIF($H103:$J103,"Sim")*Metodo!$C$37+IFERROR(INDEX(Metodo!$C$39:$C$41,MATCH($K103,Metodo!$B$39:$B$41,0)),0))</f>
        <v/>
      </c>
      <c r="M103" s="25">
        <f>IF($L103="","",IF($L103&gt;=Metodo!$C$43,"A",IF($L103&gt;=Metodo!$C$44,"B","C")))</f>
        <v/>
      </c>
      <c r="N103" s="11" t="inlineStr">
        <is>
          <t>Nao contatado</t>
        </is>
      </c>
      <c r="O103" s="38" t="n"/>
      <c r="P103" s="31" t="n"/>
      <c r="Q103" s="11" t="inlineStr">
        <is>
          <t>Achar contato</t>
        </is>
      </c>
      <c r="R103" s="38" t="n"/>
      <c r="S103" s="11" t="n"/>
      <c r="T103" s="11" t="inlineStr">
        <is>
          <t>Tier 3 (varredura TomTom 2026-08-29, PR #185). Qualificacao: sem site.</t>
        </is>
      </c>
    </row>
    <row r="104">
      <c r="A104" s="25">
        <f>IF($B104="","",ROW()-1)</f>
        <v/>
      </c>
      <c r="B104" s="27" t="inlineStr">
        <is>
          <t>Crossfit Revolut!on</t>
        </is>
      </c>
      <c r="C104" s="27" t="inlineStr">
        <is>
          <t>São Paulo - Belém</t>
        </is>
      </c>
      <c r="D104" s="27" t="n"/>
      <c r="E104" s="27" t="inlineStr">
        <is>
          <t>+55 11 4741-2986</t>
        </is>
      </c>
      <c r="F104" s="28" t="n"/>
      <c r="G104" s="27" t="n"/>
      <c r="H104" s="27" t="n"/>
      <c r="I104" s="27" t="n"/>
      <c r="J104" s="27" t="n"/>
      <c r="K104" s="27" t="inlineStr">
        <is>
          <t>Grande SP</t>
        </is>
      </c>
      <c r="L104" s="25">
        <f>IF($B104="","",IF($F104="",Metodo!$C$30,IF(AND($F104&gt;=80,$F104&lt;=250),Metodo!$C$28,IF(OR(AND($F104&gt;=40,$F104&lt;=79),AND($F104&gt;=251,$F104&lt;=400)),Metodo!$C$29,Metodo!$C$30)))+IFERROR(INDEX(Metodo!$C$32:$C$35,MATCH($G104,Metodo!$B$32:$B$35,0)),0)+COUNTIF($H104:$J104,"Sim")*Metodo!$C$37+IFERROR(INDEX(Metodo!$C$39:$C$41,MATCH($K104,Metodo!$B$39:$B$41,0)),0))</f>
        <v/>
      </c>
      <c r="M104" s="25">
        <f>IF($L104="","",IF($L104&gt;=Metodo!$C$43,"A",IF($L104&gt;=Metodo!$C$44,"B","C")))</f>
        <v/>
      </c>
      <c r="N104" s="27" t="inlineStr">
        <is>
          <t>Nao contatado</t>
        </is>
      </c>
      <c r="O104" s="37" t="n"/>
      <c r="P104" s="28" t="n"/>
      <c r="Q104" s="27" t="inlineStr">
        <is>
          <t>Primeiro contato</t>
        </is>
      </c>
      <c r="R104" s="37" t="n"/>
      <c r="S104" s="27" t="n"/>
      <c r="T104" s="27" t="inlineStr">
        <is>
          <t>Tier 3 (varredura TomTom 2026-08-29, PR #185). Qualificacao: sem site.</t>
        </is>
      </c>
    </row>
    <row r="105">
      <c r="A105" s="25">
        <f>IF($B105="","",ROW()-1)</f>
        <v/>
      </c>
      <c r="B105" s="11" t="inlineStr">
        <is>
          <t>Crossfit Saúde</t>
        </is>
      </c>
      <c r="C105" s="11" t="inlineStr">
        <is>
          <t>São Paulo - Butantã</t>
        </is>
      </c>
      <c r="D105" s="11" t="n"/>
      <c r="E105" s="11" t="n"/>
      <c r="F105" s="31" t="n"/>
      <c r="G105" s="11" t="n"/>
      <c r="H105" s="11" t="n"/>
      <c r="I105" s="11" t="n"/>
      <c r="J105" s="11" t="n"/>
      <c r="K105" s="11" t="inlineStr">
        <is>
          <t>Grande SP</t>
        </is>
      </c>
      <c r="L105" s="25">
        <f>IF($B105="","",IF($F105="",Metodo!$C$30,IF(AND($F105&gt;=80,$F105&lt;=250),Metodo!$C$28,IF(OR(AND($F105&gt;=40,$F105&lt;=79),AND($F105&gt;=251,$F105&lt;=400)),Metodo!$C$29,Metodo!$C$30)))+IFERROR(INDEX(Metodo!$C$32:$C$35,MATCH($G105,Metodo!$B$32:$B$35,0)),0)+COUNTIF($H105:$J105,"Sim")*Metodo!$C$37+IFERROR(INDEX(Metodo!$C$39:$C$41,MATCH($K105,Metodo!$B$39:$B$41,0)),0))</f>
        <v/>
      </c>
      <c r="M105" s="25">
        <f>IF($L105="","",IF($L105&gt;=Metodo!$C$43,"A",IF($L105&gt;=Metodo!$C$44,"B","C")))</f>
        <v/>
      </c>
      <c r="N105" s="11" t="inlineStr">
        <is>
          <t>Nao contatado</t>
        </is>
      </c>
      <c r="O105" s="38" t="n"/>
      <c r="P105" s="31" t="n"/>
      <c r="Q105" s="11" t="inlineStr">
        <is>
          <t>Achar contato</t>
        </is>
      </c>
      <c r="R105" s="38" t="n"/>
      <c r="S105" s="11" t="n"/>
      <c r="T105" s="11" t="inlineStr">
        <is>
          <t>Tier 3 (varredura TomTom 2026-08-29, PR #185). Qualificacao: site próprio.</t>
        </is>
      </c>
    </row>
    <row r="106">
      <c r="A106" s="25">
        <f>IF($B106="","",ROW()-1)</f>
        <v/>
      </c>
      <c r="B106" s="27" t="inlineStr">
        <is>
          <t>Crossfit Scorpios</t>
        </is>
      </c>
      <c r="C106" s="27" t="inlineStr">
        <is>
          <t>São Paulo - Ipiranga</t>
        </is>
      </c>
      <c r="D106" s="27" t="n"/>
      <c r="E106" s="27" t="inlineStr">
        <is>
          <t>+55 11 2645-2444</t>
        </is>
      </c>
      <c r="F106" s="28" t="n"/>
      <c r="G106" s="27" t="n"/>
      <c r="H106" s="27" t="n"/>
      <c r="I106" s="27" t="n"/>
      <c r="J106" s="27" t="n"/>
      <c r="K106" s="27" t="inlineStr">
        <is>
          <t>Grande SP</t>
        </is>
      </c>
      <c r="L106" s="25">
        <f>IF($B106="","",IF($F106="",Metodo!$C$30,IF(AND($F106&gt;=80,$F106&lt;=250),Metodo!$C$28,IF(OR(AND($F106&gt;=40,$F106&lt;=79),AND($F106&gt;=251,$F106&lt;=400)),Metodo!$C$29,Metodo!$C$30)))+IFERROR(INDEX(Metodo!$C$32:$C$35,MATCH($G106,Metodo!$B$32:$B$35,0)),0)+COUNTIF($H106:$J106,"Sim")*Metodo!$C$37+IFERROR(INDEX(Metodo!$C$39:$C$41,MATCH($K106,Metodo!$B$39:$B$41,0)),0))</f>
        <v/>
      </c>
      <c r="M106" s="25">
        <f>IF($L106="","",IF($L106&gt;=Metodo!$C$43,"A",IF($L106&gt;=Metodo!$C$44,"B","C")))</f>
        <v/>
      </c>
      <c r="N106" s="27" t="inlineStr">
        <is>
          <t>Nao contatado</t>
        </is>
      </c>
      <c r="O106" s="37" t="n"/>
      <c r="P106" s="28" t="n"/>
      <c r="Q106" s="27" t="inlineStr">
        <is>
          <t>Primeiro contato</t>
        </is>
      </c>
      <c r="R106" s="37" t="n"/>
      <c r="S106" s="27" t="n"/>
      <c r="T106" s="27" t="inlineStr">
        <is>
          <t>Tier 3 (varredura TomTom 2026-08-29, PR #185). Qualificacao: sem site.</t>
        </is>
      </c>
    </row>
    <row r="107">
      <c r="A107" s="25">
        <f>IF($B107="","",ROW()-1)</f>
        <v/>
      </c>
      <c r="B107" s="11" t="inlineStr">
        <is>
          <t>Crossfit Seleção</t>
        </is>
      </c>
      <c r="C107" s="11" t="inlineStr">
        <is>
          <t>São Paulo - Santo Amaro</t>
        </is>
      </c>
      <c r="D107" s="11" t="n"/>
      <c r="E107" s="11" t="n"/>
      <c r="F107" s="31" t="n"/>
      <c r="G107" s="11" t="n"/>
      <c r="H107" s="11" t="n"/>
      <c r="I107" s="11" t="n"/>
      <c r="J107" s="11" t="n"/>
      <c r="K107" s="11" t="inlineStr">
        <is>
          <t>Grande SP</t>
        </is>
      </c>
      <c r="L107" s="25">
        <f>IF($B107="","",IF($F107="",Metodo!$C$30,IF(AND($F107&gt;=80,$F107&lt;=250),Metodo!$C$28,IF(OR(AND($F107&gt;=40,$F107&lt;=79),AND($F107&gt;=251,$F107&lt;=400)),Metodo!$C$29,Metodo!$C$30)))+IFERROR(INDEX(Metodo!$C$32:$C$35,MATCH($G107,Metodo!$B$32:$B$35,0)),0)+COUNTIF($H107:$J107,"Sim")*Metodo!$C$37+IFERROR(INDEX(Metodo!$C$39:$C$41,MATCH($K107,Metodo!$B$39:$B$41,0)),0))</f>
        <v/>
      </c>
      <c r="M107" s="25">
        <f>IF($L107="","",IF($L107&gt;=Metodo!$C$43,"A",IF($L107&gt;=Metodo!$C$44,"B","C")))</f>
        <v/>
      </c>
      <c r="N107" s="11" t="inlineStr">
        <is>
          <t>Nao contatado</t>
        </is>
      </c>
      <c r="O107" s="38" t="n"/>
      <c r="P107" s="31" t="n"/>
      <c r="Q107" s="11" t="inlineStr">
        <is>
          <t>Achar contato</t>
        </is>
      </c>
      <c r="R107" s="38" t="n"/>
      <c r="S107" s="11" t="n"/>
      <c r="T107" s="11" t="inlineStr">
        <is>
          <t>Tier 3 (varredura TomTom 2026-08-29, PR #185). Qualificacao: sem site.</t>
        </is>
      </c>
    </row>
    <row r="108">
      <c r="A108" s="25">
        <f>IF($B108="","",ROW()-1)</f>
        <v/>
      </c>
      <c r="B108" s="27" t="inlineStr">
        <is>
          <t>Crossfit Sergipe</t>
        </is>
      </c>
      <c r="C108" s="27" t="inlineStr">
        <is>
          <t>São Paulo - Consolação</t>
        </is>
      </c>
      <c r="D108" s="27" t="n"/>
      <c r="E108" s="27" t="inlineStr">
        <is>
          <t>+55 11 2679-2758</t>
        </is>
      </c>
      <c r="F108" s="28" t="n"/>
      <c r="G108" s="27" t="n"/>
      <c r="H108" s="27" t="n"/>
      <c r="I108" s="27" t="n"/>
      <c r="J108" s="27" t="n"/>
      <c r="K108" s="27" t="inlineStr">
        <is>
          <t>Grande SP</t>
        </is>
      </c>
      <c r="L108" s="25">
        <f>IF($B108="","",IF($F108="",Metodo!$C$30,IF(AND($F108&gt;=80,$F108&lt;=250),Metodo!$C$28,IF(OR(AND($F108&gt;=40,$F108&lt;=79),AND($F108&gt;=251,$F108&lt;=400)),Metodo!$C$29,Metodo!$C$30)))+IFERROR(INDEX(Metodo!$C$32:$C$35,MATCH($G108,Metodo!$B$32:$B$35,0)),0)+COUNTIF($H108:$J108,"Sim")*Metodo!$C$37+IFERROR(INDEX(Metodo!$C$39:$C$41,MATCH($K108,Metodo!$B$39:$B$41,0)),0))</f>
        <v/>
      </c>
      <c r="M108" s="25">
        <f>IF($L108="","",IF($L108&gt;=Metodo!$C$43,"A",IF($L108&gt;=Metodo!$C$44,"B","C")))</f>
        <v/>
      </c>
      <c r="N108" s="27" t="inlineStr">
        <is>
          <t>Nao contatado</t>
        </is>
      </c>
      <c r="O108" s="37" t="n"/>
      <c r="P108" s="28" t="n"/>
      <c r="Q108" s="27" t="inlineStr">
        <is>
          <t>Primeiro contato</t>
        </is>
      </c>
      <c r="R108" s="37" t="n"/>
      <c r="S108" s="27" t="n"/>
      <c r="T108" s="27" t="inlineStr">
        <is>
          <t>Tier 3 (varredura TomTom 2026-08-29, PR #185). Qualificacao: site próprio.</t>
        </is>
      </c>
    </row>
    <row r="109">
      <c r="A109" s="25">
        <f>IF($B109="","",ROW()-1)</f>
        <v/>
      </c>
      <c r="B109" s="11" t="inlineStr">
        <is>
          <t>Crossfit Simio</t>
        </is>
      </c>
      <c r="C109" s="11" t="inlineStr">
        <is>
          <t>São Paulo - Ipiranga</t>
        </is>
      </c>
      <c r="D109" s="11" t="n"/>
      <c r="E109" s="11" t="inlineStr">
        <is>
          <t>+55 11 94519-3173</t>
        </is>
      </c>
      <c r="F109" s="31" t="n"/>
      <c r="G109" s="11" t="n"/>
      <c r="H109" s="11" t="n"/>
      <c r="I109" s="11" t="n"/>
      <c r="J109" s="11" t="n"/>
      <c r="K109" s="11" t="inlineStr">
        <is>
          <t>Grande SP</t>
        </is>
      </c>
      <c r="L109" s="25">
        <f>IF($B109="","",IF($F109="",Metodo!$C$30,IF(AND($F109&gt;=80,$F109&lt;=250),Metodo!$C$28,IF(OR(AND($F109&gt;=40,$F109&lt;=79),AND($F109&gt;=251,$F109&lt;=400)),Metodo!$C$29,Metodo!$C$30)))+IFERROR(INDEX(Metodo!$C$32:$C$35,MATCH($G109,Metodo!$B$32:$B$35,0)),0)+COUNTIF($H109:$J109,"Sim")*Metodo!$C$37+IFERROR(INDEX(Metodo!$C$39:$C$41,MATCH($K109,Metodo!$B$39:$B$41,0)),0))</f>
        <v/>
      </c>
      <c r="M109" s="25">
        <f>IF($L109="","",IF($L109&gt;=Metodo!$C$43,"A",IF($L109&gt;=Metodo!$C$44,"B","C")))</f>
        <v/>
      </c>
      <c r="N109" s="11" t="inlineStr">
        <is>
          <t>Nao contatado</t>
        </is>
      </c>
      <c r="O109" s="38" t="n"/>
      <c r="P109" s="31" t="n"/>
      <c r="Q109" s="11" t="inlineStr">
        <is>
          <t>Primeiro contato</t>
        </is>
      </c>
      <c r="R109" s="38" t="n"/>
      <c r="S109" s="11" t="n"/>
      <c r="T109" s="11" t="inlineStr">
        <is>
          <t>Tier 3 (varredura TomTom 2026-08-29, PR #185). Qualificacao: site próprio.</t>
        </is>
      </c>
    </row>
    <row r="110">
      <c r="A110" s="25">
        <f>IF($B110="","",ROW()-1)</f>
        <v/>
      </c>
      <c r="B110" s="27" t="inlineStr">
        <is>
          <t>Crossfit São Lucas</t>
        </is>
      </c>
      <c r="C110" s="27" t="inlineStr">
        <is>
          <t>São Paulo - São Lucas</t>
        </is>
      </c>
      <c r="D110" s="27" t="n"/>
      <c r="E110" s="27" t="inlineStr">
        <is>
          <t>+55 11 2877-1377</t>
        </is>
      </c>
      <c r="F110" s="28" t="n"/>
      <c r="G110" s="27" t="n"/>
      <c r="H110" s="27" t="n"/>
      <c r="I110" s="27" t="n"/>
      <c r="J110" s="27" t="n"/>
      <c r="K110" s="27" t="inlineStr">
        <is>
          <t>Grande SP</t>
        </is>
      </c>
      <c r="L110" s="25">
        <f>IF($B110="","",IF($F110="",Metodo!$C$30,IF(AND($F110&gt;=80,$F110&lt;=250),Metodo!$C$28,IF(OR(AND($F110&gt;=40,$F110&lt;=79),AND($F110&gt;=251,$F110&lt;=400)),Metodo!$C$29,Metodo!$C$30)))+IFERROR(INDEX(Metodo!$C$32:$C$35,MATCH($G110,Metodo!$B$32:$B$35,0)),0)+COUNTIF($H110:$J110,"Sim")*Metodo!$C$37+IFERROR(INDEX(Metodo!$C$39:$C$41,MATCH($K110,Metodo!$B$39:$B$41,0)),0))</f>
        <v/>
      </c>
      <c r="M110" s="25">
        <f>IF($L110="","",IF($L110&gt;=Metodo!$C$43,"A",IF($L110&gt;=Metodo!$C$44,"B","C")))</f>
        <v/>
      </c>
      <c r="N110" s="27" t="inlineStr">
        <is>
          <t>Nao contatado</t>
        </is>
      </c>
      <c r="O110" s="37" t="n"/>
      <c r="P110" s="28" t="n"/>
      <c r="Q110" s="27" t="inlineStr">
        <is>
          <t>Primeiro contato</t>
        </is>
      </c>
      <c r="R110" s="37" t="n"/>
      <c r="S110" s="27" t="n"/>
      <c r="T110" s="27" t="inlineStr">
        <is>
          <t>Tier 3 (varredura TomTom 2026-08-29, PR #185). Qualificacao: site próprio.</t>
        </is>
      </c>
    </row>
    <row r="111">
      <c r="A111" s="25">
        <f>IF($B111="","",ROW()-1)</f>
        <v/>
      </c>
      <c r="B111" s="11" t="inlineStr">
        <is>
          <t>Crossfit Tucuruvi</t>
        </is>
      </c>
      <c r="C111" s="11" t="inlineStr">
        <is>
          <t>São Paulo - Tucuruvi</t>
        </is>
      </c>
      <c r="D111" s="11" t="n"/>
      <c r="E111" s="11" t="inlineStr">
        <is>
          <t>+55 11 99845-4445</t>
        </is>
      </c>
      <c r="F111" s="31" t="n"/>
      <c r="G111" s="11" t="n"/>
      <c r="H111" s="11" t="n"/>
      <c r="I111" s="11" t="n"/>
      <c r="J111" s="11" t="n"/>
      <c r="K111" s="11" t="inlineStr">
        <is>
          <t>Grande SP</t>
        </is>
      </c>
      <c r="L111" s="25">
        <f>IF($B111="","",IF($F111="",Metodo!$C$30,IF(AND($F111&gt;=80,$F111&lt;=250),Metodo!$C$28,IF(OR(AND($F111&gt;=40,$F111&lt;=79),AND($F111&gt;=251,$F111&lt;=400)),Metodo!$C$29,Metodo!$C$30)))+IFERROR(INDEX(Metodo!$C$32:$C$35,MATCH($G111,Metodo!$B$32:$B$35,0)),0)+COUNTIF($H111:$J111,"Sim")*Metodo!$C$37+IFERROR(INDEX(Metodo!$C$39:$C$41,MATCH($K111,Metodo!$B$39:$B$41,0)),0))</f>
        <v/>
      </c>
      <c r="M111" s="25">
        <f>IF($L111="","",IF($L111&gt;=Metodo!$C$43,"A",IF($L111&gt;=Metodo!$C$44,"B","C")))</f>
        <v/>
      </c>
      <c r="N111" s="11" t="inlineStr">
        <is>
          <t>Nao contatado</t>
        </is>
      </c>
      <c r="O111" s="38" t="n"/>
      <c r="P111" s="31" t="n"/>
      <c r="Q111" s="11" t="inlineStr">
        <is>
          <t>Primeiro contato</t>
        </is>
      </c>
      <c r="R111" s="38" t="n"/>
      <c r="S111" s="11" t="n"/>
      <c r="T111" s="11" t="inlineStr">
        <is>
          <t>Tier 3 (varredura TomTom 2026-08-29, PR #185). Qualificacao: sem site. Instagram pequeno (21 posts), box novo/recente. Faz promocao tipo Black Friday - sinal de sensibilidade a preco e possivel dor de cobranca manual em campanha.</t>
        </is>
      </c>
    </row>
    <row r="112">
      <c r="A112" s="25">
        <f>IF($B112="","",ROW()-1)</f>
        <v/>
      </c>
      <c r="B112" s="27" t="inlineStr">
        <is>
          <t>Crossfit Zl</t>
        </is>
      </c>
      <c r="C112" s="27" t="inlineStr">
        <is>
          <t>São Paulo - Penha</t>
        </is>
      </c>
      <c r="D112" s="27" t="n"/>
      <c r="E112" s="27" t="inlineStr">
        <is>
          <t>+55 11 98076-1578</t>
        </is>
      </c>
      <c r="F112" s="28" t="n"/>
      <c r="G112" s="27" t="n"/>
      <c r="H112" s="27" t="n"/>
      <c r="I112" s="27" t="n"/>
      <c r="J112" s="27" t="n"/>
      <c r="K112" s="27" t="inlineStr">
        <is>
          <t>Grande SP</t>
        </is>
      </c>
      <c r="L112" s="25">
        <f>IF($B112="","",IF($F112="",Metodo!$C$30,IF(AND($F112&gt;=80,$F112&lt;=250),Metodo!$C$28,IF(OR(AND($F112&gt;=40,$F112&lt;=79),AND($F112&gt;=251,$F112&lt;=400)),Metodo!$C$29,Metodo!$C$30)))+IFERROR(INDEX(Metodo!$C$32:$C$35,MATCH($G112,Metodo!$B$32:$B$35,0)),0)+COUNTIF($H112:$J112,"Sim")*Metodo!$C$37+IFERROR(INDEX(Metodo!$C$39:$C$41,MATCH($K112,Metodo!$B$39:$B$41,0)),0))</f>
        <v/>
      </c>
      <c r="M112" s="25">
        <f>IF($L112="","",IF($L112&gt;=Metodo!$C$43,"A",IF($L112&gt;=Metodo!$C$44,"B","C")))</f>
        <v/>
      </c>
      <c r="N112" s="27" t="inlineStr">
        <is>
          <t>Nao contatado</t>
        </is>
      </c>
      <c r="O112" s="37" t="n"/>
      <c r="P112" s="28" t="n"/>
      <c r="Q112" s="27" t="inlineStr">
        <is>
          <t>Primeiro contato</t>
        </is>
      </c>
      <c r="R112" s="37" t="n"/>
      <c r="S112" s="27" t="n"/>
      <c r="T112" s="27" t="inlineStr">
        <is>
          <t>Tier 3 (varredura TomTom 2026-08-29, PR #185). Qualificacao: site próprio.</t>
        </is>
      </c>
    </row>
    <row r="113">
      <c r="A113" s="25">
        <f>IF($B113="","",ROW()-1)</f>
        <v/>
      </c>
      <c r="B113" s="11" t="inlineStr">
        <is>
          <t>Crossfit Zn</t>
        </is>
      </c>
      <c r="C113" s="11" t="inlineStr">
        <is>
          <t>São Paulo - Santana</t>
        </is>
      </c>
      <c r="D113" s="11" t="n"/>
      <c r="E113" s="11" t="inlineStr">
        <is>
          <t>+55 11 3567-4884</t>
        </is>
      </c>
      <c r="F113" s="31" t="n"/>
      <c r="G113" s="11" t="n"/>
      <c r="H113" s="11" t="n"/>
      <c r="I113" s="11" t="n"/>
      <c r="J113" s="11" t="n"/>
      <c r="K113" s="11" t="inlineStr">
        <is>
          <t>Grande SP</t>
        </is>
      </c>
      <c r="L113" s="25">
        <f>IF($B113="","",IF($F113="",Metodo!$C$30,IF(AND($F113&gt;=80,$F113&lt;=250),Metodo!$C$28,IF(OR(AND($F113&gt;=40,$F113&lt;=79),AND($F113&gt;=251,$F113&lt;=400)),Metodo!$C$29,Metodo!$C$30)))+IFERROR(INDEX(Metodo!$C$32:$C$35,MATCH($G113,Metodo!$B$32:$B$35,0)),0)+COUNTIF($H113:$J113,"Sim")*Metodo!$C$37+IFERROR(INDEX(Metodo!$C$39:$C$41,MATCH($K113,Metodo!$B$39:$B$41,0)),0))</f>
        <v/>
      </c>
      <c r="M113" s="25">
        <f>IF($L113="","",IF($L113&gt;=Metodo!$C$43,"A",IF($L113&gt;=Metodo!$C$44,"B","C")))</f>
        <v/>
      </c>
      <c r="N113" s="11" t="inlineStr">
        <is>
          <t>Nao contatado</t>
        </is>
      </c>
      <c r="O113" s="38" t="n"/>
      <c r="P113" s="31" t="n"/>
      <c r="Q113" s="11" t="inlineStr">
        <is>
          <t>Primeiro contato</t>
        </is>
      </c>
      <c r="R113" s="38" t="n"/>
      <c r="S113" s="11" t="n"/>
      <c r="T113" s="11" t="inlineStr">
        <is>
          <t>Tier 3 (varredura TomTom 2026-08-29, PR #185). Qualificacao: sem site. Santana, zona norte. Sinal fraco na busca (nome comum, resultados ambiguos com outros "CrossFit ZN") - abertura generica por bairro, nao usar detalhe de outro box por engano.</t>
        </is>
      </c>
    </row>
    <row r="114">
      <c r="A114" s="25">
        <f>IF($B114="","",ROW()-1)</f>
        <v/>
      </c>
      <c r="B114" s="27" t="inlineStr">
        <is>
          <t>Dobermann Crossfit</t>
        </is>
      </c>
      <c r="C114" s="27" t="inlineStr">
        <is>
          <t>São Paulo - Moema</t>
        </is>
      </c>
      <c r="D114" s="27" t="n"/>
      <c r="E114" s="27" t="inlineStr">
        <is>
          <t>+55 11 99795-4171</t>
        </is>
      </c>
      <c r="F114" s="28" t="n"/>
      <c r="G114" s="27" t="n"/>
      <c r="H114" s="27" t="n"/>
      <c r="I114" s="27" t="n"/>
      <c r="J114" s="27" t="n"/>
      <c r="K114" s="27" t="inlineStr">
        <is>
          <t>Grande SP</t>
        </is>
      </c>
      <c r="L114" s="25">
        <f>IF($B114="","",IF($F114="",Metodo!$C$30,IF(AND($F114&gt;=80,$F114&lt;=250),Metodo!$C$28,IF(OR(AND($F114&gt;=40,$F114&lt;=79),AND($F114&gt;=251,$F114&lt;=400)),Metodo!$C$29,Metodo!$C$30)))+IFERROR(INDEX(Metodo!$C$32:$C$35,MATCH($G114,Metodo!$B$32:$B$35,0)),0)+COUNTIF($H114:$J114,"Sim")*Metodo!$C$37+IFERROR(INDEX(Metodo!$C$39:$C$41,MATCH($K114,Metodo!$B$39:$B$41,0)),0))</f>
        <v/>
      </c>
      <c r="M114" s="25">
        <f>IF($L114="","",IF($L114&gt;=Metodo!$C$43,"A",IF($L114&gt;=Metodo!$C$44,"B","C")))</f>
        <v/>
      </c>
      <c r="N114" s="27" t="inlineStr">
        <is>
          <t>Nao contatado</t>
        </is>
      </c>
      <c r="O114" s="37" t="n"/>
      <c r="P114" s="28" t="n"/>
      <c r="Q114" s="27" t="inlineStr">
        <is>
          <t>Primeiro contato</t>
        </is>
      </c>
      <c r="R114" s="37" t="n"/>
      <c r="S114" s="27" t="n"/>
      <c r="T114" s="27" t="inlineStr">
        <is>
          <t>Tier 3 (varredura TomTom 2026-08-29, PR #185). Qualificacao: site próprio.</t>
        </is>
      </c>
    </row>
    <row r="115">
      <c r="A115" s="25">
        <f>IF($B115="","",ROW()-1)</f>
        <v/>
      </c>
      <c r="B115" s="11" t="inlineStr">
        <is>
          <t>Flexus Crossfit</t>
        </is>
      </c>
      <c r="C115" s="11" t="inlineStr">
        <is>
          <t>São Paulo - Santana</t>
        </is>
      </c>
      <c r="D115" s="11" t="n"/>
      <c r="E115" s="11" t="n"/>
      <c r="F115" s="31" t="n"/>
      <c r="G115" s="11" t="n"/>
      <c r="H115" s="11" t="n"/>
      <c r="I115" s="11" t="n"/>
      <c r="J115" s="11" t="n"/>
      <c r="K115" s="11" t="inlineStr">
        <is>
          <t>Grande SP</t>
        </is>
      </c>
      <c r="L115" s="25">
        <f>IF($B115="","",IF($F115="",Metodo!$C$30,IF(AND($F115&gt;=80,$F115&lt;=250),Metodo!$C$28,IF(OR(AND($F115&gt;=40,$F115&lt;=79),AND($F115&gt;=251,$F115&lt;=400)),Metodo!$C$29,Metodo!$C$30)))+IFERROR(INDEX(Metodo!$C$32:$C$35,MATCH($G115,Metodo!$B$32:$B$35,0)),0)+COUNTIF($H115:$J115,"Sim")*Metodo!$C$37+IFERROR(INDEX(Metodo!$C$39:$C$41,MATCH($K115,Metodo!$B$39:$B$41,0)),0))</f>
        <v/>
      </c>
      <c r="M115" s="25">
        <f>IF($L115="","",IF($L115&gt;=Metodo!$C$43,"A",IF($L115&gt;=Metodo!$C$44,"B","C")))</f>
        <v/>
      </c>
      <c r="N115" s="11" t="inlineStr">
        <is>
          <t>Nao contatado</t>
        </is>
      </c>
      <c r="O115" s="38" t="n"/>
      <c r="P115" s="31" t="n"/>
      <c r="Q115" s="11" t="inlineStr">
        <is>
          <t>Achar contato</t>
        </is>
      </c>
      <c r="R115" s="38" t="n"/>
      <c r="S115" s="11" t="n"/>
      <c r="T115" s="11" t="inlineStr">
        <is>
          <t>Tier 3 (varredura TomTom 2026-08-29, PR #185). Qualificacao: sem site.</t>
        </is>
      </c>
    </row>
    <row r="116">
      <c r="A116" s="25">
        <f>IF($B116="","",ROW()-1)</f>
        <v/>
      </c>
      <c r="B116" s="27" t="inlineStr">
        <is>
          <t>Hangar 193 Crossfit</t>
        </is>
      </c>
      <c r="C116" s="27" t="inlineStr">
        <is>
          <t>São Paulo - Vila Leopoldina</t>
        </is>
      </c>
      <c r="D116" s="27" t="n"/>
      <c r="E116" s="27" t="inlineStr">
        <is>
          <t>+55 11 3473-8400</t>
        </is>
      </c>
      <c r="F116" s="28" t="n"/>
      <c r="G116" s="27" t="n"/>
      <c r="H116" s="27" t="n"/>
      <c r="I116" s="27" t="n"/>
      <c r="J116" s="27" t="n"/>
      <c r="K116" s="27" t="inlineStr">
        <is>
          <t>Grande SP</t>
        </is>
      </c>
      <c r="L116" s="25">
        <f>IF($B116="","",IF($F116="",Metodo!$C$30,IF(AND($F116&gt;=80,$F116&lt;=250),Metodo!$C$28,IF(OR(AND($F116&gt;=40,$F116&lt;=79),AND($F116&gt;=251,$F116&lt;=400)),Metodo!$C$29,Metodo!$C$30)))+IFERROR(INDEX(Metodo!$C$32:$C$35,MATCH($G116,Metodo!$B$32:$B$35,0)),0)+COUNTIF($H116:$J116,"Sim")*Metodo!$C$37+IFERROR(INDEX(Metodo!$C$39:$C$41,MATCH($K116,Metodo!$B$39:$B$41,0)),0))</f>
        <v/>
      </c>
      <c r="M116" s="25">
        <f>IF($L116="","",IF($L116&gt;=Metodo!$C$43,"A",IF($L116&gt;=Metodo!$C$44,"B","C")))</f>
        <v/>
      </c>
      <c r="N116" s="27" t="inlineStr">
        <is>
          <t>Nao contatado</t>
        </is>
      </c>
      <c r="O116" s="37" t="n"/>
      <c r="P116" s="28" t="n"/>
      <c r="Q116" s="27" t="inlineStr">
        <is>
          <t>Primeiro contato</t>
        </is>
      </c>
      <c r="R116" s="37" t="n"/>
      <c r="S116" s="27" t="n"/>
      <c r="T116" s="27" t="inlineStr">
        <is>
          <t>Tier 3 (varredura TomTom 2026-08-29, PR #185). Qualificacao: site próprio.</t>
        </is>
      </c>
    </row>
    <row r="117">
      <c r="A117" s="25">
        <f>IF($B117="","",ROW()-1)</f>
        <v/>
      </c>
      <c r="B117" s="11" t="inlineStr">
        <is>
          <t>Irmãos Crossfit</t>
        </is>
      </c>
      <c r="C117" s="11" t="inlineStr">
        <is>
          <t>São Paulo - Lapa</t>
        </is>
      </c>
      <c r="D117" s="11" t="n"/>
      <c r="E117" s="11" t="inlineStr">
        <is>
          <t>+55 11 4117-1921</t>
        </is>
      </c>
      <c r="F117" s="31" t="n"/>
      <c r="G117" s="11" t="n"/>
      <c r="H117" s="11" t="n"/>
      <c r="I117" s="11" t="n"/>
      <c r="J117" s="11" t="n"/>
      <c r="K117" s="11" t="inlineStr">
        <is>
          <t>Grande SP</t>
        </is>
      </c>
      <c r="L117" s="25">
        <f>IF($B117="","",IF($F117="",Metodo!$C$30,IF(AND($F117&gt;=80,$F117&lt;=250),Metodo!$C$28,IF(OR(AND($F117&gt;=40,$F117&lt;=79),AND($F117&gt;=251,$F117&lt;=400)),Metodo!$C$29,Metodo!$C$30)))+IFERROR(INDEX(Metodo!$C$32:$C$35,MATCH($G117,Metodo!$B$32:$B$35,0)),0)+COUNTIF($H117:$J117,"Sim")*Metodo!$C$37+IFERROR(INDEX(Metodo!$C$39:$C$41,MATCH($K117,Metodo!$B$39:$B$41,0)),0))</f>
        <v/>
      </c>
      <c r="M117" s="25">
        <f>IF($L117="","",IF($L117&gt;=Metodo!$C$43,"A",IF($L117&gt;=Metodo!$C$44,"B","C")))</f>
        <v/>
      </c>
      <c r="N117" s="11" t="inlineStr">
        <is>
          <t>Nao contatado</t>
        </is>
      </c>
      <c r="O117" s="38" t="n"/>
      <c r="P117" s="31" t="n"/>
      <c r="Q117" s="11" t="inlineStr">
        <is>
          <t>Primeiro contato</t>
        </is>
      </c>
      <c r="R117" s="38" t="n"/>
      <c r="S117" s="11" t="n"/>
      <c r="T117" s="11" t="inlineStr">
        <is>
          <t>Tier 3 (varredura TomTom 2026-08-29, PR #185). Qualificacao: site próprio.</t>
        </is>
      </c>
    </row>
    <row r="118">
      <c r="A118" s="25">
        <f>IF($B118="","",ROW()-1)</f>
        <v/>
      </c>
      <c r="B118" s="27" t="inlineStr">
        <is>
          <t>Kampu CrossFit</t>
        </is>
      </c>
      <c r="C118" s="27" t="inlineStr">
        <is>
          <t>São Paulo - Itaim Bibi</t>
        </is>
      </c>
      <c r="D118" s="27" t="n"/>
      <c r="E118" s="27" t="inlineStr">
        <is>
          <t>+55 11 5041-4338</t>
        </is>
      </c>
      <c r="F118" s="28" t="n"/>
      <c r="G118" s="27" t="n"/>
      <c r="H118" s="27" t="n"/>
      <c r="I118" s="27" t="n"/>
      <c r="J118" s="27" t="n"/>
      <c r="K118" s="27" t="inlineStr">
        <is>
          <t>Grande SP</t>
        </is>
      </c>
      <c r="L118" s="25">
        <f>IF($B118="","",IF($F118="",Metodo!$C$30,IF(AND($F118&gt;=80,$F118&lt;=250),Metodo!$C$28,IF(OR(AND($F118&gt;=40,$F118&lt;=79),AND($F118&gt;=251,$F118&lt;=400)),Metodo!$C$29,Metodo!$C$30)))+IFERROR(INDEX(Metodo!$C$32:$C$35,MATCH($G118,Metodo!$B$32:$B$35,0)),0)+COUNTIF($H118:$J118,"Sim")*Metodo!$C$37+IFERROR(INDEX(Metodo!$C$39:$C$41,MATCH($K118,Metodo!$B$39:$B$41,0)),0))</f>
        <v/>
      </c>
      <c r="M118" s="25">
        <f>IF($L118="","",IF($L118&gt;=Metodo!$C$43,"A",IF($L118&gt;=Metodo!$C$44,"B","C")))</f>
        <v/>
      </c>
      <c r="N118" s="27" t="inlineStr">
        <is>
          <t>Nao contatado</t>
        </is>
      </c>
      <c r="O118" s="37" t="n"/>
      <c r="P118" s="28" t="n"/>
      <c r="Q118" s="27" t="inlineStr">
        <is>
          <t>Primeiro contato</t>
        </is>
      </c>
      <c r="R118" s="37" t="n"/>
      <c r="S118" s="27" t="n"/>
      <c r="T118" s="27" t="inlineStr">
        <is>
          <t>Tier 3 (varredura TomTom 2026-08-29, PR #185). Qualificacao: site próprio.</t>
        </is>
      </c>
    </row>
    <row r="119">
      <c r="A119" s="25">
        <f>IF($B119="","",ROW()-1)</f>
        <v/>
      </c>
      <c r="B119" s="11" t="inlineStr">
        <is>
          <t>Muralha CrossFit</t>
        </is>
      </c>
      <c r="C119" s="11" t="inlineStr">
        <is>
          <t>São Paulo - Saúde</t>
        </is>
      </c>
      <c r="D119" s="11" t="n"/>
      <c r="E119" s="11" t="inlineStr">
        <is>
          <t>+55 11 2384-2878</t>
        </is>
      </c>
      <c r="F119" s="31" t="n"/>
      <c r="G119" s="11" t="n"/>
      <c r="H119" s="11" t="n"/>
      <c r="I119" s="11" t="n"/>
      <c r="J119" s="11" t="n"/>
      <c r="K119" s="11" t="inlineStr">
        <is>
          <t>Grande SP</t>
        </is>
      </c>
      <c r="L119" s="25">
        <f>IF($B119="","",IF($F119="",Metodo!$C$30,IF(AND($F119&gt;=80,$F119&lt;=250),Metodo!$C$28,IF(OR(AND($F119&gt;=40,$F119&lt;=79),AND($F119&gt;=251,$F119&lt;=400)),Metodo!$C$29,Metodo!$C$30)))+IFERROR(INDEX(Metodo!$C$32:$C$35,MATCH($G119,Metodo!$B$32:$B$35,0)),0)+COUNTIF($H119:$J119,"Sim")*Metodo!$C$37+IFERROR(INDEX(Metodo!$C$39:$C$41,MATCH($K119,Metodo!$B$39:$B$41,0)),0))</f>
        <v/>
      </c>
      <c r="M119" s="25">
        <f>IF($L119="","",IF($L119&gt;=Metodo!$C$43,"A",IF($L119&gt;=Metodo!$C$44,"B","C")))</f>
        <v/>
      </c>
      <c r="N119" s="11" t="inlineStr">
        <is>
          <t>Nao contatado</t>
        </is>
      </c>
      <c r="O119" s="38" t="n"/>
      <c r="P119" s="31" t="n"/>
      <c r="Q119" s="11" t="inlineStr">
        <is>
          <t>Primeiro contato</t>
        </is>
      </c>
      <c r="R119" s="38" t="n"/>
      <c r="S119" s="11" t="n"/>
      <c r="T119" s="11" t="inlineStr">
        <is>
          <t>Tier 3 (varredura TomTom 2026-08-29, PR #185). Qualificacao: site próprio.</t>
        </is>
      </c>
    </row>
    <row r="120">
      <c r="A120" s="25">
        <f>IF($B120="","",ROW()-1)</f>
        <v/>
      </c>
      <c r="B120" s="27" t="inlineStr">
        <is>
          <t>Studio Funcional &amp; Crossfit</t>
        </is>
      </c>
      <c r="C120" s="27" t="inlineStr">
        <is>
          <t>São Paulo - Tucuruvi</t>
        </is>
      </c>
      <c r="D120" s="27" t="n"/>
      <c r="E120" s="27" t="inlineStr">
        <is>
          <t>+55 11 99276-5033</t>
        </is>
      </c>
      <c r="F120" s="28" t="n"/>
      <c r="G120" s="27" t="n"/>
      <c r="H120" s="27" t="n"/>
      <c r="I120" s="27" t="n"/>
      <c r="J120" s="27" t="n"/>
      <c r="K120" s="27" t="inlineStr">
        <is>
          <t>Grande SP</t>
        </is>
      </c>
      <c r="L120" s="25">
        <f>IF($B120="","",IF($F120="",Metodo!$C$30,IF(AND($F120&gt;=80,$F120&lt;=250),Metodo!$C$28,IF(OR(AND($F120&gt;=40,$F120&lt;=79),AND($F120&gt;=251,$F120&lt;=400)),Metodo!$C$29,Metodo!$C$30)))+IFERROR(INDEX(Metodo!$C$32:$C$35,MATCH($G120,Metodo!$B$32:$B$35,0)),0)+COUNTIF($H120:$J120,"Sim")*Metodo!$C$37+IFERROR(INDEX(Metodo!$C$39:$C$41,MATCH($K120,Metodo!$B$39:$B$41,0)),0))</f>
        <v/>
      </c>
      <c r="M120" s="25">
        <f>IF($L120="","",IF($L120&gt;=Metodo!$C$43,"A",IF($L120&gt;=Metodo!$C$44,"B","C")))</f>
        <v/>
      </c>
      <c r="N120" s="27" t="inlineStr">
        <is>
          <t>Nao contatado</t>
        </is>
      </c>
      <c r="O120" s="37" t="n"/>
      <c r="P120" s="28" t="n"/>
      <c r="Q120" s="27" t="inlineStr">
        <is>
          <t>Primeiro contato</t>
        </is>
      </c>
      <c r="R120" s="37" t="n"/>
      <c r="S120" s="27" t="n"/>
      <c r="T120" s="27" t="inlineStr">
        <is>
          <t>Tier 3 (varredura TomTom 2026-08-29, PR #185). Qualificacao: site proprio. Tucuruvi. Sinal fraco na busca - mas o proprio nome ja diz que atende funcional + crossfit, publico mais amplo que um box crossfit puro.</t>
        </is>
      </c>
    </row>
    <row r="121">
      <c r="A121" s="25">
        <f>IF($B121="","",ROW()-1)</f>
        <v/>
      </c>
      <c r="B121" s="11" t="inlineStr">
        <is>
          <t>Vigor Crossfit</t>
        </is>
      </c>
      <c r="C121" s="11" t="inlineStr">
        <is>
          <t>São Paulo - Jaguaré</t>
        </is>
      </c>
      <c r="D121" s="11" t="n"/>
      <c r="E121" s="11" t="n"/>
      <c r="F121" s="31" t="n"/>
      <c r="G121" s="11" t="n"/>
      <c r="H121" s="11" t="n"/>
      <c r="I121" s="11" t="n"/>
      <c r="J121" s="11" t="n"/>
      <c r="K121" s="11" t="inlineStr">
        <is>
          <t>Grande SP</t>
        </is>
      </c>
      <c r="L121" s="25">
        <f>IF($B121="","",IF($F121="",Metodo!$C$30,IF(AND($F121&gt;=80,$F121&lt;=250),Metodo!$C$28,IF(OR(AND($F121&gt;=40,$F121&lt;=79),AND($F121&gt;=251,$F121&lt;=400)),Metodo!$C$29,Metodo!$C$30)))+IFERROR(INDEX(Metodo!$C$32:$C$35,MATCH($G121,Metodo!$B$32:$B$35,0)),0)+COUNTIF($H121:$J121,"Sim")*Metodo!$C$37+IFERROR(INDEX(Metodo!$C$39:$C$41,MATCH($K121,Metodo!$B$39:$B$41,0)),0))</f>
        <v/>
      </c>
      <c r="M121" s="25">
        <f>IF($L121="","",IF($L121&gt;=Metodo!$C$43,"A",IF($L121&gt;=Metodo!$C$44,"B","C")))</f>
        <v/>
      </c>
      <c r="N121" s="11" t="inlineStr">
        <is>
          <t>Nao contatado</t>
        </is>
      </c>
      <c r="O121" s="38" t="n"/>
      <c r="P121" s="31" t="n"/>
      <c r="Q121" s="11" t="inlineStr">
        <is>
          <t>Achar contato</t>
        </is>
      </c>
      <c r="R121" s="38" t="n"/>
      <c r="S121" s="11" t="n"/>
      <c r="T121" s="11" t="inlineStr">
        <is>
          <t>Tier 3 (varredura TomTom 2026-08-29, PR #185). Qualificacao: sem site.</t>
        </is>
      </c>
    </row>
    <row r="122">
      <c r="A122" s="25">
        <f>IF($B122="","",ROW()-1)</f>
        <v/>
      </c>
      <c r="B122" s="27" t="n"/>
      <c r="C122" s="27" t="n"/>
      <c r="D122" s="27" t="n"/>
      <c r="E122" s="27" t="n"/>
      <c r="F122" s="28" t="n"/>
      <c r="G122" s="27" t="n"/>
      <c r="H122" s="27" t="n"/>
      <c r="I122" s="27" t="n"/>
      <c r="J122" s="27" t="n"/>
      <c r="K122" s="27" t="n"/>
      <c r="L122" s="25">
        <f>IF($B122="","",IF($F122="",Metodo!$C$30,IF(AND($F122&gt;=80,$F122&lt;=250),Metodo!$C$28,IF(OR(AND($F122&gt;=40,$F122&lt;=79),AND($F122&gt;=251,$F122&lt;=400)),Metodo!$C$29,Metodo!$C$30)))+IFERROR(INDEX(Metodo!$C$32:$C$35,MATCH($G122,Metodo!$B$32:$B$35,0)),0)+COUNTIF($H122:$J122,"Sim")*Metodo!$C$37+IFERROR(INDEX(Metodo!$C$39:$C$41,MATCH($K122,Metodo!$B$39:$B$41,0)),0))</f>
        <v/>
      </c>
      <c r="M122" s="25">
        <f>IF($L122="","",IF($L122&gt;=Metodo!$C$43,"A",IF($L122&gt;=Metodo!$C$44,"B","C")))</f>
        <v/>
      </c>
      <c r="N122" s="27" t="n"/>
      <c r="O122" s="37" t="n"/>
      <c r="P122" s="28" t="n"/>
      <c r="Q122" s="27" t="n"/>
      <c r="R122" s="37" t="n"/>
      <c r="S122" s="27" t="n"/>
      <c r="T122" s="27" t="n"/>
    </row>
    <row r="123">
      <c r="A123" s="25">
        <f>IF($B123="","",ROW()-1)</f>
        <v/>
      </c>
      <c r="B123" s="11" t="n"/>
      <c r="C123" s="11" t="n"/>
      <c r="D123" s="11" t="n"/>
      <c r="E123" s="11" t="n"/>
      <c r="F123" s="31" t="n"/>
      <c r="G123" s="11" t="n"/>
      <c r="H123" s="11" t="n"/>
      <c r="I123" s="11" t="n"/>
      <c r="J123" s="11" t="n"/>
      <c r="K123" s="11" t="n"/>
      <c r="L123" s="25">
        <f>IF($B123="","",IF($F123="",Metodo!$C$30,IF(AND($F123&gt;=80,$F123&lt;=250),Metodo!$C$28,IF(OR(AND($F123&gt;=40,$F123&lt;=79),AND($F123&gt;=251,$F123&lt;=400)),Metodo!$C$29,Metodo!$C$30)))+IFERROR(INDEX(Metodo!$C$32:$C$35,MATCH($G123,Metodo!$B$32:$B$35,0)),0)+COUNTIF($H123:$J123,"Sim")*Metodo!$C$37+IFERROR(INDEX(Metodo!$C$39:$C$41,MATCH($K123,Metodo!$B$39:$B$41,0)),0))</f>
        <v/>
      </c>
      <c r="M123" s="25">
        <f>IF($L123="","",IF($L123&gt;=Metodo!$C$43,"A",IF($L123&gt;=Metodo!$C$44,"B","C")))</f>
        <v/>
      </c>
      <c r="N123" s="11" t="n"/>
      <c r="O123" s="38" t="n"/>
      <c r="P123" s="31" t="n"/>
      <c r="Q123" s="11" t="n"/>
      <c r="R123" s="38" t="n"/>
      <c r="S123" s="11" t="n"/>
      <c r="T123" s="11" t="n"/>
    </row>
    <row r="124">
      <c r="A124" s="25">
        <f>IF($B124="","",ROW()-1)</f>
        <v/>
      </c>
      <c r="B124" s="27" t="n"/>
      <c r="C124" s="27" t="n"/>
      <c r="D124" s="27" t="n"/>
      <c r="E124" s="27" t="n"/>
      <c r="F124" s="28" t="n"/>
      <c r="G124" s="27" t="n"/>
      <c r="H124" s="27" t="n"/>
      <c r="I124" s="27" t="n"/>
      <c r="J124" s="27" t="n"/>
      <c r="K124" s="27" t="n"/>
      <c r="L124" s="25">
        <f>IF($B124="","",IF($F124="",Metodo!$C$30,IF(AND($F124&gt;=80,$F124&lt;=250),Metodo!$C$28,IF(OR(AND($F124&gt;=40,$F124&lt;=79),AND($F124&gt;=251,$F124&lt;=400)),Metodo!$C$29,Metodo!$C$30)))+IFERROR(INDEX(Metodo!$C$32:$C$35,MATCH($G124,Metodo!$B$32:$B$35,0)),0)+COUNTIF($H124:$J124,"Sim")*Metodo!$C$37+IFERROR(INDEX(Metodo!$C$39:$C$41,MATCH($K124,Metodo!$B$39:$B$41,0)),0))</f>
        <v/>
      </c>
      <c r="M124" s="25">
        <f>IF($L124="","",IF($L124&gt;=Metodo!$C$43,"A",IF($L124&gt;=Metodo!$C$44,"B","C")))</f>
        <v/>
      </c>
      <c r="N124" s="27" t="n"/>
      <c r="O124" s="37" t="n"/>
      <c r="P124" s="28" t="n"/>
      <c r="Q124" s="27" t="n"/>
      <c r="R124" s="37" t="n"/>
      <c r="S124" s="27" t="n"/>
      <c r="T124" s="27" t="n"/>
    </row>
    <row r="125">
      <c r="A125" s="25">
        <f>IF($B125="","",ROW()-1)</f>
        <v/>
      </c>
      <c r="B125" s="11" t="n"/>
      <c r="C125" s="11" t="n"/>
      <c r="D125" s="11" t="n"/>
      <c r="E125" s="11" t="n"/>
      <c r="F125" s="31" t="n"/>
      <c r="G125" s="11" t="n"/>
      <c r="H125" s="11" t="n"/>
      <c r="I125" s="11" t="n"/>
      <c r="J125" s="11" t="n"/>
      <c r="K125" s="11" t="n"/>
      <c r="L125" s="25">
        <f>IF($B125="","",IF($F125="",Metodo!$C$30,IF(AND($F125&gt;=80,$F125&lt;=250),Metodo!$C$28,IF(OR(AND($F125&gt;=40,$F125&lt;=79),AND($F125&gt;=251,$F125&lt;=400)),Metodo!$C$29,Metodo!$C$30)))+IFERROR(INDEX(Metodo!$C$32:$C$35,MATCH($G125,Metodo!$B$32:$B$35,0)),0)+COUNTIF($H125:$J125,"Sim")*Metodo!$C$37+IFERROR(INDEX(Metodo!$C$39:$C$41,MATCH($K125,Metodo!$B$39:$B$41,0)),0))</f>
        <v/>
      </c>
      <c r="M125" s="25">
        <f>IF($L125="","",IF($L125&gt;=Metodo!$C$43,"A",IF($L125&gt;=Metodo!$C$44,"B","C")))</f>
        <v/>
      </c>
      <c r="N125" s="11" t="n"/>
      <c r="O125" s="38" t="n"/>
      <c r="P125" s="31" t="n"/>
      <c r="Q125" s="11" t="n"/>
      <c r="R125" s="38" t="n"/>
      <c r="S125" s="11" t="n"/>
      <c r="T125" s="11" t="n"/>
    </row>
    <row r="126">
      <c r="A126" s="25">
        <f>IF($B126="","",ROW()-1)</f>
        <v/>
      </c>
      <c r="B126" s="27" t="n"/>
      <c r="C126" s="27" t="n"/>
      <c r="D126" s="27" t="n"/>
      <c r="E126" s="27" t="n"/>
      <c r="F126" s="28" t="n"/>
      <c r="G126" s="27" t="n"/>
      <c r="H126" s="27" t="n"/>
      <c r="I126" s="27" t="n"/>
      <c r="J126" s="27" t="n"/>
      <c r="K126" s="27" t="n"/>
      <c r="L126" s="25">
        <f>IF($B126="","",IF($F126="",Metodo!$C$30,IF(AND($F126&gt;=80,$F126&lt;=250),Metodo!$C$28,IF(OR(AND($F126&gt;=40,$F126&lt;=79),AND($F126&gt;=251,$F126&lt;=400)),Metodo!$C$29,Metodo!$C$30)))+IFERROR(INDEX(Metodo!$C$32:$C$35,MATCH($G126,Metodo!$B$32:$B$35,0)),0)+COUNTIF($H126:$J126,"Sim")*Metodo!$C$37+IFERROR(INDEX(Metodo!$C$39:$C$41,MATCH($K126,Metodo!$B$39:$B$41,0)),0))</f>
        <v/>
      </c>
      <c r="M126" s="25">
        <f>IF($L126="","",IF($L126&gt;=Metodo!$C$43,"A",IF($L126&gt;=Metodo!$C$44,"B","C")))</f>
        <v/>
      </c>
      <c r="N126" s="27" t="n"/>
      <c r="O126" s="37" t="n"/>
      <c r="P126" s="28" t="n"/>
      <c r="Q126" s="27" t="n"/>
      <c r="R126" s="37" t="n"/>
      <c r="S126" s="27" t="n"/>
      <c r="T126" s="27" t="n"/>
    </row>
    <row r="127">
      <c r="A127" s="25">
        <f>IF($B127="","",ROW()-1)</f>
        <v/>
      </c>
      <c r="B127" s="11" t="n"/>
      <c r="C127" s="11" t="n"/>
      <c r="D127" s="11" t="n"/>
      <c r="E127" s="11" t="n"/>
      <c r="F127" s="31" t="n"/>
      <c r="G127" s="11" t="n"/>
      <c r="H127" s="11" t="n"/>
      <c r="I127" s="11" t="n"/>
      <c r="J127" s="11" t="n"/>
      <c r="K127" s="11" t="n"/>
      <c r="L127" s="25">
        <f>IF($B127="","",IF($F127="",Metodo!$C$30,IF(AND($F127&gt;=80,$F127&lt;=250),Metodo!$C$28,IF(OR(AND($F127&gt;=40,$F127&lt;=79),AND($F127&gt;=251,$F127&lt;=400)),Metodo!$C$29,Metodo!$C$30)))+IFERROR(INDEX(Metodo!$C$32:$C$35,MATCH($G127,Metodo!$B$32:$B$35,0)),0)+COUNTIF($H127:$J127,"Sim")*Metodo!$C$37+IFERROR(INDEX(Metodo!$C$39:$C$41,MATCH($K127,Metodo!$B$39:$B$41,0)),0))</f>
        <v/>
      </c>
      <c r="M127" s="25">
        <f>IF($L127="","",IF($L127&gt;=Metodo!$C$43,"A",IF($L127&gt;=Metodo!$C$44,"B","C")))</f>
        <v/>
      </c>
      <c r="N127" s="11" t="n"/>
      <c r="O127" s="38" t="n"/>
      <c r="P127" s="31" t="n"/>
      <c r="Q127" s="11" t="n"/>
      <c r="R127" s="38" t="n"/>
      <c r="S127" s="11" t="n"/>
      <c r="T127" s="11" t="n"/>
    </row>
    <row r="128">
      <c r="A128" s="25">
        <f>IF($B128="","",ROW()-1)</f>
        <v/>
      </c>
      <c r="B128" s="27" t="n"/>
      <c r="C128" s="27" t="n"/>
      <c r="D128" s="27" t="n"/>
      <c r="E128" s="27" t="n"/>
      <c r="F128" s="28" t="n"/>
      <c r="G128" s="27" t="n"/>
      <c r="H128" s="27" t="n"/>
      <c r="I128" s="27" t="n"/>
      <c r="J128" s="27" t="n"/>
      <c r="K128" s="27" t="n"/>
      <c r="L128" s="25">
        <f>IF($B128="","",IF($F128="",Metodo!$C$30,IF(AND($F128&gt;=80,$F128&lt;=250),Metodo!$C$28,IF(OR(AND($F128&gt;=40,$F128&lt;=79),AND($F128&gt;=251,$F128&lt;=400)),Metodo!$C$29,Metodo!$C$30)))+IFERROR(INDEX(Metodo!$C$32:$C$35,MATCH($G128,Metodo!$B$32:$B$35,0)),0)+COUNTIF($H128:$J128,"Sim")*Metodo!$C$37+IFERROR(INDEX(Metodo!$C$39:$C$41,MATCH($K128,Metodo!$B$39:$B$41,0)),0))</f>
        <v/>
      </c>
      <c r="M128" s="25">
        <f>IF($L128="","",IF($L128&gt;=Metodo!$C$43,"A",IF($L128&gt;=Metodo!$C$44,"B","C")))</f>
        <v/>
      </c>
      <c r="N128" s="27" t="n"/>
      <c r="O128" s="37" t="n"/>
      <c r="P128" s="28" t="n"/>
      <c r="Q128" s="27" t="n"/>
      <c r="R128" s="37" t="n"/>
      <c r="S128" s="27" t="n"/>
      <c r="T128" s="27" t="n"/>
    </row>
    <row r="129">
      <c r="A129" s="25">
        <f>IF($B129="","",ROW()-1)</f>
        <v/>
      </c>
      <c r="B129" s="11" t="n"/>
      <c r="C129" s="11" t="n"/>
      <c r="D129" s="11" t="n"/>
      <c r="E129" s="11" t="n"/>
      <c r="F129" s="31" t="n"/>
      <c r="G129" s="11" t="n"/>
      <c r="H129" s="11" t="n"/>
      <c r="I129" s="11" t="n"/>
      <c r="J129" s="11" t="n"/>
      <c r="K129" s="11" t="n"/>
      <c r="L129" s="25">
        <f>IF($B129="","",IF($F129="",Metodo!$C$30,IF(AND($F129&gt;=80,$F129&lt;=250),Metodo!$C$28,IF(OR(AND($F129&gt;=40,$F129&lt;=79),AND($F129&gt;=251,$F129&lt;=400)),Metodo!$C$29,Metodo!$C$30)))+IFERROR(INDEX(Metodo!$C$32:$C$35,MATCH($G129,Metodo!$B$32:$B$35,0)),0)+COUNTIF($H129:$J129,"Sim")*Metodo!$C$37+IFERROR(INDEX(Metodo!$C$39:$C$41,MATCH($K129,Metodo!$B$39:$B$41,0)),0))</f>
        <v/>
      </c>
      <c r="M129" s="25">
        <f>IF($L129="","",IF($L129&gt;=Metodo!$C$43,"A",IF($L129&gt;=Metodo!$C$44,"B","C")))</f>
        <v/>
      </c>
      <c r="N129" s="11" t="n"/>
      <c r="O129" s="38" t="n"/>
      <c r="P129" s="31" t="n"/>
      <c r="Q129" s="11" t="n"/>
      <c r="R129" s="38" t="n"/>
      <c r="S129" s="11" t="n"/>
      <c r="T129" s="11" t="n"/>
    </row>
    <row r="130">
      <c r="A130" s="25">
        <f>IF($B130="","",ROW()-1)</f>
        <v/>
      </c>
      <c r="B130" s="27" t="n"/>
      <c r="C130" s="27" t="n"/>
      <c r="D130" s="27" t="n"/>
      <c r="E130" s="27" t="n"/>
      <c r="F130" s="28" t="n"/>
      <c r="G130" s="27" t="n"/>
      <c r="H130" s="27" t="n"/>
      <c r="I130" s="27" t="n"/>
      <c r="J130" s="27" t="n"/>
      <c r="K130" s="27" t="n"/>
      <c r="L130" s="25">
        <f>IF($B130="","",IF($F130="",Metodo!$C$30,IF(AND($F130&gt;=80,$F130&lt;=250),Metodo!$C$28,IF(OR(AND($F130&gt;=40,$F130&lt;=79),AND($F130&gt;=251,$F130&lt;=400)),Metodo!$C$29,Metodo!$C$30)))+IFERROR(INDEX(Metodo!$C$32:$C$35,MATCH($G130,Metodo!$B$32:$B$35,0)),0)+COUNTIF($H130:$J130,"Sim")*Metodo!$C$37+IFERROR(INDEX(Metodo!$C$39:$C$41,MATCH($K130,Metodo!$B$39:$B$41,0)),0))</f>
        <v/>
      </c>
      <c r="M130" s="25">
        <f>IF($L130="","",IF($L130&gt;=Metodo!$C$43,"A",IF($L130&gt;=Metodo!$C$44,"B","C")))</f>
        <v/>
      </c>
      <c r="N130" s="27" t="n"/>
      <c r="O130" s="37" t="n"/>
      <c r="P130" s="28" t="n"/>
      <c r="Q130" s="27" t="n"/>
      <c r="R130" s="37" t="n"/>
      <c r="S130" s="27" t="n"/>
      <c r="T130" s="27" t="n"/>
    </row>
    <row r="131">
      <c r="A131" s="25">
        <f>IF($B131="","",ROW()-1)</f>
        <v/>
      </c>
      <c r="B131" s="11" t="n"/>
      <c r="C131" s="11" t="n"/>
      <c r="D131" s="11" t="n"/>
      <c r="E131" s="11" t="n"/>
      <c r="F131" s="31" t="n"/>
      <c r="G131" s="11" t="n"/>
      <c r="H131" s="11" t="n"/>
      <c r="I131" s="11" t="n"/>
      <c r="J131" s="11" t="n"/>
      <c r="K131" s="11" t="n"/>
      <c r="L131" s="25">
        <f>IF($B131="","",IF($F131="",Metodo!$C$30,IF(AND($F131&gt;=80,$F131&lt;=250),Metodo!$C$28,IF(OR(AND($F131&gt;=40,$F131&lt;=79),AND($F131&gt;=251,$F131&lt;=400)),Metodo!$C$29,Metodo!$C$30)))+IFERROR(INDEX(Metodo!$C$32:$C$35,MATCH($G131,Metodo!$B$32:$B$35,0)),0)+COUNTIF($H131:$J131,"Sim")*Metodo!$C$37+IFERROR(INDEX(Metodo!$C$39:$C$41,MATCH($K131,Metodo!$B$39:$B$41,0)),0))</f>
        <v/>
      </c>
      <c r="M131" s="25">
        <f>IF($L131="","",IF($L131&gt;=Metodo!$C$43,"A",IF($L131&gt;=Metodo!$C$44,"B","C")))</f>
        <v/>
      </c>
      <c r="N131" s="11" t="n"/>
      <c r="O131" s="38" t="n"/>
      <c r="P131" s="31" t="n"/>
      <c r="Q131" s="11" t="n"/>
      <c r="R131" s="38" t="n"/>
      <c r="S131" s="11" t="n"/>
      <c r="T131" s="11" t="n"/>
    </row>
    <row r="132">
      <c r="A132" s="25">
        <f>IF($B132="","",ROW()-1)</f>
        <v/>
      </c>
      <c r="B132" s="27" t="n"/>
      <c r="C132" s="27" t="n"/>
      <c r="D132" s="27" t="n"/>
      <c r="E132" s="27" t="n"/>
      <c r="F132" s="28" t="n"/>
      <c r="G132" s="27" t="n"/>
      <c r="H132" s="27" t="n"/>
      <c r="I132" s="27" t="n"/>
      <c r="J132" s="27" t="n"/>
      <c r="K132" s="27" t="n"/>
      <c r="L132" s="25">
        <f>IF($B132="","",IF($F132="",Metodo!$C$30,IF(AND($F132&gt;=80,$F132&lt;=250),Metodo!$C$28,IF(OR(AND($F132&gt;=40,$F132&lt;=79),AND($F132&gt;=251,$F132&lt;=400)),Metodo!$C$29,Metodo!$C$30)))+IFERROR(INDEX(Metodo!$C$32:$C$35,MATCH($G132,Metodo!$B$32:$B$35,0)),0)+COUNTIF($H132:$J132,"Sim")*Metodo!$C$37+IFERROR(INDEX(Metodo!$C$39:$C$41,MATCH($K132,Metodo!$B$39:$B$41,0)),0))</f>
        <v/>
      </c>
      <c r="M132" s="25">
        <f>IF($L132="","",IF($L132&gt;=Metodo!$C$43,"A",IF($L132&gt;=Metodo!$C$44,"B","C")))</f>
        <v/>
      </c>
      <c r="N132" s="27" t="n"/>
      <c r="O132" s="37" t="n"/>
      <c r="P132" s="28" t="n"/>
      <c r="Q132" s="27" t="n"/>
      <c r="R132" s="37" t="n"/>
      <c r="S132" s="27" t="n"/>
      <c r="T132" s="27" t="n"/>
    </row>
    <row r="133">
      <c r="A133" s="25">
        <f>IF($B133="","",ROW()-1)</f>
        <v/>
      </c>
      <c r="B133" s="11" t="n"/>
      <c r="C133" s="11" t="n"/>
      <c r="D133" s="11" t="n"/>
      <c r="E133" s="11" t="n"/>
      <c r="F133" s="31" t="n"/>
      <c r="G133" s="11" t="n"/>
      <c r="H133" s="11" t="n"/>
      <c r="I133" s="11" t="n"/>
      <c r="J133" s="11" t="n"/>
      <c r="K133" s="11" t="n"/>
      <c r="L133" s="25">
        <f>IF($B133="","",IF($F133="",Metodo!$C$30,IF(AND($F133&gt;=80,$F133&lt;=250),Metodo!$C$28,IF(OR(AND($F133&gt;=40,$F133&lt;=79),AND($F133&gt;=251,$F133&lt;=400)),Metodo!$C$29,Metodo!$C$30)))+IFERROR(INDEX(Metodo!$C$32:$C$35,MATCH($G133,Metodo!$B$32:$B$35,0)),0)+COUNTIF($H133:$J133,"Sim")*Metodo!$C$37+IFERROR(INDEX(Metodo!$C$39:$C$41,MATCH($K133,Metodo!$B$39:$B$41,0)),0))</f>
        <v/>
      </c>
      <c r="M133" s="25">
        <f>IF($L133="","",IF($L133&gt;=Metodo!$C$43,"A",IF($L133&gt;=Metodo!$C$44,"B","C")))</f>
        <v/>
      </c>
      <c r="N133" s="11" t="n"/>
      <c r="O133" s="38" t="n"/>
      <c r="P133" s="31" t="n"/>
      <c r="Q133" s="11" t="n"/>
      <c r="R133" s="38" t="n"/>
      <c r="S133" s="11" t="n"/>
      <c r="T133" s="11" t="n"/>
    </row>
    <row r="134">
      <c r="A134" s="25">
        <f>IF($B134="","",ROW()-1)</f>
        <v/>
      </c>
      <c r="B134" s="27" t="n"/>
      <c r="C134" s="27" t="n"/>
      <c r="D134" s="27" t="n"/>
      <c r="E134" s="27" t="n"/>
      <c r="F134" s="28" t="n"/>
      <c r="G134" s="27" t="n"/>
      <c r="H134" s="27" t="n"/>
      <c r="I134" s="27" t="n"/>
      <c r="J134" s="27" t="n"/>
      <c r="K134" s="27" t="n"/>
      <c r="L134" s="25">
        <f>IF($B134="","",IF($F134="",Metodo!$C$30,IF(AND($F134&gt;=80,$F134&lt;=250),Metodo!$C$28,IF(OR(AND($F134&gt;=40,$F134&lt;=79),AND($F134&gt;=251,$F134&lt;=400)),Metodo!$C$29,Metodo!$C$30)))+IFERROR(INDEX(Metodo!$C$32:$C$35,MATCH($G134,Metodo!$B$32:$B$35,0)),0)+COUNTIF($H134:$J134,"Sim")*Metodo!$C$37+IFERROR(INDEX(Metodo!$C$39:$C$41,MATCH($K134,Metodo!$B$39:$B$41,0)),0))</f>
        <v/>
      </c>
      <c r="M134" s="25">
        <f>IF($L134="","",IF($L134&gt;=Metodo!$C$43,"A",IF($L134&gt;=Metodo!$C$44,"B","C")))</f>
        <v/>
      </c>
      <c r="N134" s="27" t="n"/>
      <c r="O134" s="37" t="n"/>
      <c r="P134" s="28" t="n"/>
      <c r="Q134" s="27" t="n"/>
      <c r="R134" s="37" t="n"/>
      <c r="S134" s="27" t="n"/>
      <c r="T134" s="27" t="n"/>
    </row>
    <row r="135">
      <c r="A135" s="25">
        <f>IF($B135="","",ROW()-1)</f>
        <v/>
      </c>
      <c r="B135" s="11" t="n"/>
      <c r="C135" s="11" t="n"/>
      <c r="D135" s="11" t="n"/>
      <c r="E135" s="11" t="n"/>
      <c r="F135" s="31" t="n"/>
      <c r="G135" s="11" t="n"/>
      <c r="H135" s="11" t="n"/>
      <c r="I135" s="11" t="n"/>
      <c r="J135" s="11" t="n"/>
      <c r="K135" s="11" t="n"/>
      <c r="L135" s="25">
        <f>IF($B135="","",IF($F135="",Metodo!$C$30,IF(AND($F135&gt;=80,$F135&lt;=250),Metodo!$C$28,IF(OR(AND($F135&gt;=40,$F135&lt;=79),AND($F135&gt;=251,$F135&lt;=400)),Metodo!$C$29,Metodo!$C$30)))+IFERROR(INDEX(Metodo!$C$32:$C$35,MATCH($G135,Metodo!$B$32:$B$35,0)),0)+COUNTIF($H135:$J135,"Sim")*Metodo!$C$37+IFERROR(INDEX(Metodo!$C$39:$C$41,MATCH($K135,Metodo!$B$39:$B$41,0)),0))</f>
        <v/>
      </c>
      <c r="M135" s="25">
        <f>IF($L135="","",IF($L135&gt;=Metodo!$C$43,"A",IF($L135&gt;=Metodo!$C$44,"B","C")))</f>
        <v/>
      </c>
      <c r="N135" s="11" t="n"/>
      <c r="O135" s="38" t="n"/>
      <c r="P135" s="31" t="n"/>
      <c r="Q135" s="11" t="n"/>
      <c r="R135" s="38" t="n"/>
      <c r="S135" s="11" t="n"/>
      <c r="T135" s="11" t="n"/>
    </row>
    <row r="136">
      <c r="A136" s="25">
        <f>IF($B136="","",ROW()-1)</f>
        <v/>
      </c>
      <c r="B136" s="27" t="n"/>
      <c r="C136" s="27" t="n"/>
      <c r="D136" s="27" t="n"/>
      <c r="E136" s="27" t="n"/>
      <c r="F136" s="28" t="n"/>
      <c r="G136" s="27" t="n"/>
      <c r="H136" s="27" t="n"/>
      <c r="I136" s="27" t="n"/>
      <c r="J136" s="27" t="n"/>
      <c r="K136" s="27" t="n"/>
      <c r="L136" s="25">
        <f>IF($B136="","",IF($F136="",Metodo!$C$30,IF(AND($F136&gt;=80,$F136&lt;=250),Metodo!$C$28,IF(OR(AND($F136&gt;=40,$F136&lt;=79),AND($F136&gt;=251,$F136&lt;=400)),Metodo!$C$29,Metodo!$C$30)))+IFERROR(INDEX(Metodo!$C$32:$C$35,MATCH($G136,Metodo!$B$32:$B$35,0)),0)+COUNTIF($H136:$J136,"Sim")*Metodo!$C$37+IFERROR(INDEX(Metodo!$C$39:$C$41,MATCH($K136,Metodo!$B$39:$B$41,0)),0))</f>
        <v/>
      </c>
      <c r="M136" s="25">
        <f>IF($L136="","",IF($L136&gt;=Metodo!$C$43,"A",IF($L136&gt;=Metodo!$C$44,"B","C")))</f>
        <v/>
      </c>
      <c r="N136" s="27" t="n"/>
      <c r="O136" s="37" t="n"/>
      <c r="P136" s="28" t="n"/>
      <c r="Q136" s="27" t="n"/>
      <c r="R136" s="37" t="n"/>
      <c r="S136" s="27" t="n"/>
      <c r="T136" s="27" t="n"/>
    </row>
    <row r="137">
      <c r="A137" s="25">
        <f>IF($B137="","",ROW()-1)</f>
        <v/>
      </c>
      <c r="B137" s="11" t="n"/>
      <c r="C137" s="11" t="n"/>
      <c r="D137" s="11" t="n"/>
      <c r="E137" s="11" t="n"/>
      <c r="F137" s="31" t="n"/>
      <c r="G137" s="11" t="n"/>
      <c r="H137" s="11" t="n"/>
      <c r="I137" s="11" t="n"/>
      <c r="J137" s="11" t="n"/>
      <c r="K137" s="11" t="n"/>
      <c r="L137" s="25">
        <f>IF($B137="","",IF($F137="",Metodo!$C$30,IF(AND($F137&gt;=80,$F137&lt;=250),Metodo!$C$28,IF(OR(AND($F137&gt;=40,$F137&lt;=79),AND($F137&gt;=251,$F137&lt;=400)),Metodo!$C$29,Metodo!$C$30)))+IFERROR(INDEX(Metodo!$C$32:$C$35,MATCH($G137,Metodo!$B$32:$B$35,0)),0)+COUNTIF($H137:$J137,"Sim")*Metodo!$C$37+IFERROR(INDEX(Metodo!$C$39:$C$41,MATCH($K137,Metodo!$B$39:$B$41,0)),0))</f>
        <v/>
      </c>
      <c r="M137" s="25">
        <f>IF($L137="","",IF($L137&gt;=Metodo!$C$43,"A",IF($L137&gt;=Metodo!$C$44,"B","C")))</f>
        <v/>
      </c>
      <c r="N137" s="11" t="n"/>
      <c r="O137" s="38" t="n"/>
      <c r="P137" s="31" t="n"/>
      <c r="Q137" s="11" t="n"/>
      <c r="R137" s="38" t="n"/>
      <c r="S137" s="11" t="n"/>
      <c r="T137" s="11" t="n"/>
    </row>
    <row r="138">
      <c r="A138" s="25">
        <f>IF($B138="","",ROW()-1)</f>
        <v/>
      </c>
      <c r="B138" s="27" t="n"/>
      <c r="C138" s="27" t="n"/>
      <c r="D138" s="27" t="n"/>
      <c r="E138" s="27" t="n"/>
      <c r="F138" s="28" t="n"/>
      <c r="G138" s="27" t="n"/>
      <c r="H138" s="27" t="n"/>
      <c r="I138" s="27" t="n"/>
      <c r="J138" s="27" t="n"/>
      <c r="K138" s="27" t="n"/>
      <c r="L138" s="25">
        <f>IF($B138="","",IF($F138="",Metodo!$C$30,IF(AND($F138&gt;=80,$F138&lt;=250),Metodo!$C$28,IF(OR(AND($F138&gt;=40,$F138&lt;=79),AND($F138&gt;=251,$F138&lt;=400)),Metodo!$C$29,Metodo!$C$30)))+IFERROR(INDEX(Metodo!$C$32:$C$35,MATCH($G138,Metodo!$B$32:$B$35,0)),0)+COUNTIF($H138:$J138,"Sim")*Metodo!$C$37+IFERROR(INDEX(Metodo!$C$39:$C$41,MATCH($K138,Metodo!$B$39:$B$41,0)),0))</f>
        <v/>
      </c>
      <c r="M138" s="25">
        <f>IF($L138="","",IF($L138&gt;=Metodo!$C$43,"A",IF($L138&gt;=Metodo!$C$44,"B","C")))</f>
        <v/>
      </c>
      <c r="N138" s="27" t="n"/>
      <c r="O138" s="37" t="n"/>
      <c r="P138" s="28" t="n"/>
      <c r="Q138" s="27" t="n"/>
      <c r="R138" s="37" t="n"/>
      <c r="S138" s="27" t="n"/>
      <c r="T138" s="27" t="n"/>
    </row>
    <row r="139">
      <c r="A139" s="25">
        <f>IF($B139="","",ROW()-1)</f>
        <v/>
      </c>
      <c r="B139" s="11" t="n"/>
      <c r="C139" s="11" t="n"/>
      <c r="D139" s="11" t="n"/>
      <c r="E139" s="11" t="n"/>
      <c r="F139" s="31" t="n"/>
      <c r="G139" s="11" t="n"/>
      <c r="H139" s="11" t="n"/>
      <c r="I139" s="11" t="n"/>
      <c r="J139" s="11" t="n"/>
      <c r="K139" s="11" t="n"/>
      <c r="L139" s="25">
        <f>IF($B139="","",IF($F139="",Metodo!$C$30,IF(AND($F139&gt;=80,$F139&lt;=250),Metodo!$C$28,IF(OR(AND($F139&gt;=40,$F139&lt;=79),AND($F139&gt;=251,$F139&lt;=400)),Metodo!$C$29,Metodo!$C$30)))+IFERROR(INDEX(Metodo!$C$32:$C$35,MATCH($G139,Metodo!$B$32:$B$35,0)),0)+COUNTIF($H139:$J139,"Sim")*Metodo!$C$37+IFERROR(INDEX(Metodo!$C$39:$C$41,MATCH($K139,Metodo!$B$39:$B$41,0)),0))</f>
        <v/>
      </c>
      <c r="M139" s="25">
        <f>IF($L139="","",IF($L139&gt;=Metodo!$C$43,"A",IF($L139&gt;=Metodo!$C$44,"B","C")))</f>
        <v/>
      </c>
      <c r="N139" s="11" t="n"/>
      <c r="O139" s="38" t="n"/>
      <c r="P139" s="31" t="n"/>
      <c r="Q139" s="11" t="n"/>
      <c r="R139" s="38" t="n"/>
      <c r="S139" s="11" t="n"/>
      <c r="T139" s="11" t="n"/>
    </row>
    <row r="140">
      <c r="A140" s="25">
        <f>IF($B140="","",ROW()-1)</f>
        <v/>
      </c>
      <c r="B140" s="27" t="n"/>
      <c r="C140" s="27" t="n"/>
      <c r="D140" s="27" t="n"/>
      <c r="E140" s="27" t="n"/>
      <c r="F140" s="28" t="n"/>
      <c r="G140" s="27" t="n"/>
      <c r="H140" s="27" t="n"/>
      <c r="I140" s="27" t="n"/>
      <c r="J140" s="27" t="n"/>
      <c r="K140" s="27" t="n"/>
      <c r="L140" s="25">
        <f>IF($B140="","",IF($F140="",Metodo!$C$30,IF(AND($F140&gt;=80,$F140&lt;=250),Metodo!$C$28,IF(OR(AND($F140&gt;=40,$F140&lt;=79),AND($F140&gt;=251,$F140&lt;=400)),Metodo!$C$29,Metodo!$C$30)))+IFERROR(INDEX(Metodo!$C$32:$C$35,MATCH($G140,Metodo!$B$32:$B$35,0)),0)+COUNTIF($H140:$J140,"Sim")*Metodo!$C$37+IFERROR(INDEX(Metodo!$C$39:$C$41,MATCH($K140,Metodo!$B$39:$B$41,0)),0))</f>
        <v/>
      </c>
      <c r="M140" s="25">
        <f>IF($L140="","",IF($L140&gt;=Metodo!$C$43,"A",IF($L140&gt;=Metodo!$C$44,"B","C")))</f>
        <v/>
      </c>
      <c r="N140" s="27" t="n"/>
      <c r="O140" s="37" t="n"/>
      <c r="P140" s="28" t="n"/>
      <c r="Q140" s="27" t="n"/>
      <c r="R140" s="37" t="n"/>
      <c r="S140" s="27" t="n"/>
      <c r="T140" s="27" t="n"/>
    </row>
    <row r="141">
      <c r="A141" s="25">
        <f>IF($B141="","",ROW()-1)</f>
        <v/>
      </c>
      <c r="B141" s="11" t="n"/>
      <c r="C141" s="11" t="n"/>
      <c r="D141" s="11" t="n"/>
      <c r="E141" s="11" t="n"/>
      <c r="F141" s="31" t="n"/>
      <c r="G141" s="11" t="n"/>
      <c r="H141" s="11" t="n"/>
      <c r="I141" s="11" t="n"/>
      <c r="J141" s="11" t="n"/>
      <c r="K141" s="11" t="n"/>
      <c r="L141" s="25">
        <f>IF($B141="","",IF($F141="",Metodo!$C$30,IF(AND($F141&gt;=80,$F141&lt;=250),Metodo!$C$28,IF(OR(AND($F141&gt;=40,$F141&lt;=79),AND($F141&gt;=251,$F141&lt;=400)),Metodo!$C$29,Metodo!$C$30)))+IFERROR(INDEX(Metodo!$C$32:$C$35,MATCH($G141,Metodo!$B$32:$B$35,0)),0)+COUNTIF($H141:$J141,"Sim")*Metodo!$C$37+IFERROR(INDEX(Metodo!$C$39:$C$41,MATCH($K141,Metodo!$B$39:$B$41,0)),0))</f>
        <v/>
      </c>
      <c r="M141" s="25">
        <f>IF($L141="","",IF($L141&gt;=Metodo!$C$43,"A",IF($L141&gt;=Metodo!$C$44,"B","C")))</f>
        <v/>
      </c>
      <c r="N141" s="11" t="n"/>
      <c r="O141" s="38" t="n"/>
      <c r="P141" s="31" t="n"/>
      <c r="Q141" s="11" t="n"/>
      <c r="R141" s="38" t="n"/>
      <c r="S141" s="11" t="n"/>
      <c r="T141" s="11" t="n"/>
    </row>
    <row r="142">
      <c r="A142" s="25">
        <f>IF($B142="","",ROW()-1)</f>
        <v/>
      </c>
      <c r="B142" s="27" t="n"/>
      <c r="C142" s="27" t="n"/>
      <c r="D142" s="27" t="n"/>
      <c r="E142" s="27" t="n"/>
      <c r="F142" s="28" t="n"/>
      <c r="G142" s="27" t="n"/>
      <c r="H142" s="27" t="n"/>
      <c r="I142" s="27" t="n"/>
      <c r="J142" s="27" t="n"/>
      <c r="K142" s="27" t="n"/>
      <c r="L142" s="25">
        <f>IF($B142="","",IF($F142="",Metodo!$C$30,IF(AND($F142&gt;=80,$F142&lt;=250),Metodo!$C$28,IF(OR(AND($F142&gt;=40,$F142&lt;=79),AND($F142&gt;=251,$F142&lt;=400)),Metodo!$C$29,Metodo!$C$30)))+IFERROR(INDEX(Metodo!$C$32:$C$35,MATCH($G142,Metodo!$B$32:$B$35,0)),0)+COUNTIF($H142:$J142,"Sim")*Metodo!$C$37+IFERROR(INDEX(Metodo!$C$39:$C$41,MATCH($K142,Metodo!$B$39:$B$41,0)),0))</f>
        <v/>
      </c>
      <c r="M142" s="25">
        <f>IF($L142="","",IF($L142&gt;=Metodo!$C$43,"A",IF($L142&gt;=Metodo!$C$44,"B","C")))</f>
        <v/>
      </c>
      <c r="N142" s="27" t="n"/>
      <c r="O142" s="37" t="n"/>
      <c r="P142" s="28" t="n"/>
      <c r="Q142" s="27" t="n"/>
      <c r="R142" s="37" t="n"/>
      <c r="S142" s="27" t="n"/>
      <c r="T142" s="27" t="n"/>
    </row>
    <row r="143">
      <c r="A143" s="25">
        <f>IF($B143="","",ROW()-1)</f>
        <v/>
      </c>
      <c r="B143" s="11" t="n"/>
      <c r="C143" s="11" t="n"/>
      <c r="D143" s="11" t="n"/>
      <c r="E143" s="11" t="n"/>
      <c r="F143" s="31" t="n"/>
      <c r="G143" s="11" t="n"/>
      <c r="H143" s="11" t="n"/>
      <c r="I143" s="11" t="n"/>
      <c r="J143" s="11" t="n"/>
      <c r="K143" s="11" t="n"/>
      <c r="L143" s="25">
        <f>IF($B143="","",IF($F143="",Metodo!$C$30,IF(AND($F143&gt;=80,$F143&lt;=250),Metodo!$C$28,IF(OR(AND($F143&gt;=40,$F143&lt;=79),AND($F143&gt;=251,$F143&lt;=400)),Metodo!$C$29,Metodo!$C$30)))+IFERROR(INDEX(Metodo!$C$32:$C$35,MATCH($G143,Metodo!$B$32:$B$35,0)),0)+COUNTIF($H143:$J143,"Sim")*Metodo!$C$37+IFERROR(INDEX(Metodo!$C$39:$C$41,MATCH($K143,Metodo!$B$39:$B$41,0)),0))</f>
        <v/>
      </c>
      <c r="M143" s="25">
        <f>IF($L143="","",IF($L143&gt;=Metodo!$C$43,"A",IF($L143&gt;=Metodo!$C$44,"B","C")))</f>
        <v/>
      </c>
      <c r="N143" s="11" t="n"/>
      <c r="O143" s="38" t="n"/>
      <c r="P143" s="31" t="n"/>
      <c r="Q143" s="11" t="n"/>
      <c r="R143" s="38" t="n"/>
      <c r="S143" s="11" t="n"/>
      <c r="T143" s="11" t="n"/>
    </row>
    <row r="144">
      <c r="A144" s="25">
        <f>IF($B144="","",ROW()-1)</f>
        <v/>
      </c>
      <c r="B144" s="27" t="n"/>
      <c r="C144" s="27" t="n"/>
      <c r="D144" s="27" t="n"/>
      <c r="E144" s="27" t="n"/>
      <c r="F144" s="28" t="n"/>
      <c r="G144" s="27" t="n"/>
      <c r="H144" s="27" t="n"/>
      <c r="I144" s="27" t="n"/>
      <c r="J144" s="27" t="n"/>
      <c r="K144" s="27" t="n"/>
      <c r="L144" s="25">
        <f>IF($B144="","",IF($F144="",Metodo!$C$30,IF(AND($F144&gt;=80,$F144&lt;=250),Metodo!$C$28,IF(OR(AND($F144&gt;=40,$F144&lt;=79),AND($F144&gt;=251,$F144&lt;=400)),Metodo!$C$29,Metodo!$C$30)))+IFERROR(INDEX(Metodo!$C$32:$C$35,MATCH($G144,Metodo!$B$32:$B$35,0)),0)+COUNTIF($H144:$J144,"Sim")*Metodo!$C$37+IFERROR(INDEX(Metodo!$C$39:$C$41,MATCH($K144,Metodo!$B$39:$B$41,0)),0))</f>
        <v/>
      </c>
      <c r="M144" s="25">
        <f>IF($L144="","",IF($L144&gt;=Metodo!$C$43,"A",IF($L144&gt;=Metodo!$C$44,"B","C")))</f>
        <v/>
      </c>
      <c r="N144" s="27" t="n"/>
      <c r="O144" s="37" t="n"/>
      <c r="P144" s="28" t="n"/>
      <c r="Q144" s="27" t="n"/>
      <c r="R144" s="37" t="n"/>
      <c r="S144" s="27" t="n"/>
      <c r="T144" s="27" t="n"/>
    </row>
    <row r="145">
      <c r="A145" s="25">
        <f>IF($B145="","",ROW()-1)</f>
        <v/>
      </c>
      <c r="B145" s="11" t="n"/>
      <c r="C145" s="11" t="n"/>
      <c r="D145" s="11" t="n"/>
      <c r="E145" s="11" t="n"/>
      <c r="F145" s="31" t="n"/>
      <c r="G145" s="11" t="n"/>
      <c r="H145" s="11" t="n"/>
      <c r="I145" s="11" t="n"/>
      <c r="J145" s="11" t="n"/>
      <c r="K145" s="11" t="n"/>
      <c r="L145" s="25">
        <f>IF($B145="","",IF($F145="",Metodo!$C$30,IF(AND($F145&gt;=80,$F145&lt;=250),Metodo!$C$28,IF(OR(AND($F145&gt;=40,$F145&lt;=79),AND($F145&gt;=251,$F145&lt;=400)),Metodo!$C$29,Metodo!$C$30)))+IFERROR(INDEX(Metodo!$C$32:$C$35,MATCH($G145,Metodo!$B$32:$B$35,0)),0)+COUNTIF($H145:$J145,"Sim")*Metodo!$C$37+IFERROR(INDEX(Metodo!$C$39:$C$41,MATCH($K145,Metodo!$B$39:$B$41,0)),0))</f>
        <v/>
      </c>
      <c r="M145" s="25">
        <f>IF($L145="","",IF($L145&gt;=Metodo!$C$43,"A",IF($L145&gt;=Metodo!$C$44,"B","C")))</f>
        <v/>
      </c>
      <c r="N145" s="11" t="n"/>
      <c r="O145" s="38" t="n"/>
      <c r="P145" s="31" t="n"/>
      <c r="Q145" s="11" t="n"/>
      <c r="R145" s="38" t="n"/>
      <c r="S145" s="11" t="n"/>
      <c r="T145" s="11" t="n"/>
    </row>
    <row r="146">
      <c r="A146" s="25">
        <f>IF($B146="","",ROW()-1)</f>
        <v/>
      </c>
      <c r="B146" s="27" t="n"/>
      <c r="C146" s="27" t="n"/>
      <c r="D146" s="27" t="n"/>
      <c r="E146" s="27" t="n"/>
      <c r="F146" s="28" t="n"/>
      <c r="G146" s="27" t="n"/>
      <c r="H146" s="27" t="n"/>
      <c r="I146" s="27" t="n"/>
      <c r="J146" s="27" t="n"/>
      <c r="K146" s="27" t="n"/>
      <c r="L146" s="25">
        <f>IF($B146="","",IF($F146="",Metodo!$C$30,IF(AND($F146&gt;=80,$F146&lt;=250),Metodo!$C$28,IF(OR(AND($F146&gt;=40,$F146&lt;=79),AND($F146&gt;=251,$F146&lt;=400)),Metodo!$C$29,Metodo!$C$30)))+IFERROR(INDEX(Metodo!$C$32:$C$35,MATCH($G146,Metodo!$B$32:$B$35,0)),0)+COUNTIF($H146:$J146,"Sim")*Metodo!$C$37+IFERROR(INDEX(Metodo!$C$39:$C$41,MATCH($K146,Metodo!$B$39:$B$41,0)),0))</f>
        <v/>
      </c>
      <c r="M146" s="25">
        <f>IF($L146="","",IF($L146&gt;=Metodo!$C$43,"A",IF($L146&gt;=Metodo!$C$44,"B","C")))</f>
        <v/>
      </c>
      <c r="N146" s="27" t="n"/>
      <c r="O146" s="37" t="n"/>
      <c r="P146" s="28" t="n"/>
      <c r="Q146" s="27" t="n"/>
      <c r="R146" s="37" t="n"/>
      <c r="S146" s="27" t="n"/>
      <c r="T146" s="27" t="n"/>
    </row>
    <row r="147">
      <c r="A147" s="25">
        <f>IF($B147="","",ROW()-1)</f>
        <v/>
      </c>
      <c r="B147" s="11" t="n"/>
      <c r="C147" s="11" t="n"/>
      <c r="D147" s="11" t="n"/>
      <c r="E147" s="11" t="n"/>
      <c r="F147" s="31" t="n"/>
      <c r="G147" s="11" t="n"/>
      <c r="H147" s="11" t="n"/>
      <c r="I147" s="11" t="n"/>
      <c r="J147" s="11" t="n"/>
      <c r="K147" s="11" t="n"/>
      <c r="L147" s="25">
        <f>IF($B147="","",IF($F147="",Metodo!$C$30,IF(AND($F147&gt;=80,$F147&lt;=250),Metodo!$C$28,IF(OR(AND($F147&gt;=40,$F147&lt;=79),AND($F147&gt;=251,$F147&lt;=400)),Metodo!$C$29,Metodo!$C$30)))+IFERROR(INDEX(Metodo!$C$32:$C$35,MATCH($G147,Metodo!$B$32:$B$35,0)),0)+COUNTIF($H147:$J147,"Sim")*Metodo!$C$37+IFERROR(INDEX(Metodo!$C$39:$C$41,MATCH($K147,Metodo!$B$39:$B$41,0)),0))</f>
        <v/>
      </c>
      <c r="M147" s="25">
        <f>IF($L147="","",IF($L147&gt;=Metodo!$C$43,"A",IF($L147&gt;=Metodo!$C$44,"B","C")))</f>
        <v/>
      </c>
      <c r="N147" s="11" t="n"/>
      <c r="O147" s="38" t="n"/>
      <c r="P147" s="31" t="n"/>
      <c r="Q147" s="11" t="n"/>
      <c r="R147" s="38" t="n"/>
      <c r="S147" s="11" t="n"/>
      <c r="T147" s="11" t="n"/>
    </row>
    <row r="148">
      <c r="A148" s="25">
        <f>IF($B148="","",ROW()-1)</f>
        <v/>
      </c>
      <c r="B148" s="27" t="n"/>
      <c r="C148" s="27" t="n"/>
      <c r="D148" s="27" t="n"/>
      <c r="E148" s="27" t="n"/>
      <c r="F148" s="28" t="n"/>
      <c r="G148" s="27" t="n"/>
      <c r="H148" s="27" t="n"/>
      <c r="I148" s="27" t="n"/>
      <c r="J148" s="27" t="n"/>
      <c r="K148" s="27" t="n"/>
      <c r="L148" s="25">
        <f>IF($B148="","",IF($F148="",Metodo!$C$30,IF(AND($F148&gt;=80,$F148&lt;=250),Metodo!$C$28,IF(OR(AND($F148&gt;=40,$F148&lt;=79),AND($F148&gt;=251,$F148&lt;=400)),Metodo!$C$29,Metodo!$C$30)))+IFERROR(INDEX(Metodo!$C$32:$C$35,MATCH($G148,Metodo!$B$32:$B$35,0)),0)+COUNTIF($H148:$J148,"Sim")*Metodo!$C$37+IFERROR(INDEX(Metodo!$C$39:$C$41,MATCH($K148,Metodo!$B$39:$B$41,0)),0))</f>
        <v/>
      </c>
      <c r="M148" s="25">
        <f>IF($L148="","",IF($L148&gt;=Metodo!$C$43,"A",IF($L148&gt;=Metodo!$C$44,"B","C")))</f>
        <v/>
      </c>
      <c r="N148" s="27" t="n"/>
      <c r="O148" s="37" t="n"/>
      <c r="P148" s="28" t="n"/>
      <c r="Q148" s="27" t="n"/>
      <c r="R148" s="37" t="n"/>
      <c r="S148" s="27" t="n"/>
      <c r="T148" s="27" t="n"/>
    </row>
    <row r="149">
      <c r="A149" s="25">
        <f>IF($B149="","",ROW()-1)</f>
        <v/>
      </c>
      <c r="B149" s="11" t="n"/>
      <c r="C149" s="11" t="n"/>
      <c r="D149" s="11" t="n"/>
      <c r="E149" s="11" t="n"/>
      <c r="F149" s="31" t="n"/>
      <c r="G149" s="11" t="n"/>
      <c r="H149" s="11" t="n"/>
      <c r="I149" s="11" t="n"/>
      <c r="J149" s="11" t="n"/>
      <c r="K149" s="11" t="n"/>
      <c r="L149" s="25">
        <f>IF($B149="","",IF($F149="",Metodo!$C$30,IF(AND($F149&gt;=80,$F149&lt;=250),Metodo!$C$28,IF(OR(AND($F149&gt;=40,$F149&lt;=79),AND($F149&gt;=251,$F149&lt;=400)),Metodo!$C$29,Metodo!$C$30)))+IFERROR(INDEX(Metodo!$C$32:$C$35,MATCH($G149,Metodo!$B$32:$B$35,0)),0)+COUNTIF($H149:$J149,"Sim")*Metodo!$C$37+IFERROR(INDEX(Metodo!$C$39:$C$41,MATCH($K149,Metodo!$B$39:$B$41,0)),0))</f>
        <v/>
      </c>
      <c r="M149" s="25">
        <f>IF($L149="","",IF($L149&gt;=Metodo!$C$43,"A",IF($L149&gt;=Metodo!$C$44,"B","C")))</f>
        <v/>
      </c>
      <c r="N149" s="11" t="n"/>
      <c r="O149" s="38" t="n"/>
      <c r="P149" s="31" t="n"/>
      <c r="Q149" s="11" t="n"/>
      <c r="R149" s="38" t="n"/>
      <c r="S149" s="11" t="n"/>
      <c r="T149" s="11" t="n"/>
    </row>
    <row r="150">
      <c r="A150" s="25">
        <f>IF($B150="","",ROW()-1)</f>
        <v/>
      </c>
      <c r="B150" s="27" t="n"/>
      <c r="C150" s="27" t="n"/>
      <c r="D150" s="27" t="n"/>
      <c r="E150" s="27" t="n"/>
      <c r="F150" s="28" t="n"/>
      <c r="G150" s="27" t="n"/>
      <c r="H150" s="27" t="n"/>
      <c r="I150" s="27" t="n"/>
      <c r="J150" s="27" t="n"/>
      <c r="K150" s="27" t="n"/>
      <c r="L150" s="25">
        <f>IF($B150="","",IF($F150="",Metodo!$C$30,IF(AND($F150&gt;=80,$F150&lt;=250),Metodo!$C$28,IF(OR(AND($F150&gt;=40,$F150&lt;=79),AND($F150&gt;=251,$F150&lt;=400)),Metodo!$C$29,Metodo!$C$30)))+IFERROR(INDEX(Metodo!$C$32:$C$35,MATCH($G150,Metodo!$B$32:$B$35,0)),0)+COUNTIF($H150:$J150,"Sim")*Metodo!$C$37+IFERROR(INDEX(Metodo!$C$39:$C$41,MATCH($K150,Metodo!$B$39:$B$41,0)),0))</f>
        <v/>
      </c>
      <c r="M150" s="25">
        <f>IF($L150="","",IF($L150&gt;=Metodo!$C$43,"A",IF($L150&gt;=Metodo!$C$44,"B","C")))</f>
        <v/>
      </c>
      <c r="N150" s="27" t="n"/>
      <c r="O150" s="37" t="n"/>
      <c r="P150" s="28" t="n"/>
      <c r="Q150" s="27" t="n"/>
      <c r="R150" s="37" t="n"/>
      <c r="S150" s="27" t="n"/>
      <c r="T150" s="27" t="n"/>
    </row>
    <row r="151">
      <c r="A151" s="25">
        <f>IF($B151="","",ROW()-1)</f>
        <v/>
      </c>
      <c r="B151" s="11" t="n"/>
      <c r="C151" s="11" t="n"/>
      <c r="D151" s="11" t="n"/>
      <c r="E151" s="11" t="n"/>
      <c r="F151" s="31" t="n"/>
      <c r="G151" s="11" t="n"/>
      <c r="H151" s="11" t="n"/>
      <c r="I151" s="11" t="n"/>
      <c r="J151" s="11" t="n"/>
      <c r="K151" s="11" t="n"/>
      <c r="L151" s="25">
        <f>IF($B151="","",IF($F151="",Metodo!$C$30,IF(AND($F151&gt;=80,$F151&lt;=250),Metodo!$C$28,IF(OR(AND($F151&gt;=40,$F151&lt;=79),AND($F151&gt;=251,$F151&lt;=400)),Metodo!$C$29,Metodo!$C$30)))+IFERROR(INDEX(Metodo!$C$32:$C$35,MATCH($G151,Metodo!$B$32:$B$35,0)),0)+COUNTIF($H151:$J151,"Sim")*Metodo!$C$37+IFERROR(INDEX(Metodo!$C$39:$C$41,MATCH($K151,Metodo!$B$39:$B$41,0)),0))</f>
        <v/>
      </c>
      <c r="M151" s="25">
        <f>IF($L151="","",IF($L151&gt;=Metodo!$C$43,"A",IF($L151&gt;=Metodo!$C$44,"B","C")))</f>
        <v/>
      </c>
      <c r="N151" s="11" t="n"/>
      <c r="O151" s="38" t="n"/>
      <c r="P151" s="31" t="n"/>
      <c r="Q151" s="11" t="n"/>
      <c r="R151" s="38" t="n"/>
      <c r="S151" s="11" t="n"/>
      <c r="T151" s="11" t="n"/>
    </row>
    <row r="152">
      <c r="A152" s="25">
        <f>IF($B152="","",ROW()-1)</f>
        <v/>
      </c>
      <c r="B152" s="27" t="n"/>
      <c r="C152" s="27" t="n"/>
      <c r="D152" s="27" t="n"/>
      <c r="E152" s="27" t="n"/>
      <c r="F152" s="28" t="n"/>
      <c r="G152" s="27" t="n"/>
      <c r="H152" s="27" t="n"/>
      <c r="I152" s="27" t="n"/>
      <c r="J152" s="27" t="n"/>
      <c r="K152" s="27" t="n"/>
      <c r="L152" s="25">
        <f>IF($B152="","",IF($F152="",Metodo!$C$30,IF(AND($F152&gt;=80,$F152&lt;=250),Metodo!$C$28,IF(OR(AND($F152&gt;=40,$F152&lt;=79),AND($F152&gt;=251,$F152&lt;=400)),Metodo!$C$29,Metodo!$C$30)))+IFERROR(INDEX(Metodo!$C$32:$C$35,MATCH($G152,Metodo!$B$32:$B$35,0)),0)+COUNTIF($H152:$J152,"Sim")*Metodo!$C$37+IFERROR(INDEX(Metodo!$C$39:$C$41,MATCH($K152,Metodo!$B$39:$B$41,0)),0))</f>
        <v/>
      </c>
      <c r="M152" s="25">
        <f>IF($L152="","",IF($L152&gt;=Metodo!$C$43,"A",IF($L152&gt;=Metodo!$C$44,"B","C")))</f>
        <v/>
      </c>
      <c r="N152" s="27" t="n"/>
      <c r="O152" s="37" t="n"/>
      <c r="P152" s="28" t="n"/>
      <c r="Q152" s="27" t="n"/>
      <c r="R152" s="37" t="n"/>
      <c r="S152" s="27" t="n"/>
      <c r="T152" s="27" t="n"/>
    </row>
    <row r="153">
      <c r="A153" s="25">
        <f>IF($B153="","",ROW()-1)</f>
        <v/>
      </c>
      <c r="B153" s="11" t="n"/>
      <c r="C153" s="11" t="n"/>
      <c r="D153" s="11" t="n"/>
      <c r="E153" s="11" t="n"/>
      <c r="F153" s="31" t="n"/>
      <c r="G153" s="11" t="n"/>
      <c r="H153" s="11" t="n"/>
      <c r="I153" s="11" t="n"/>
      <c r="J153" s="11" t="n"/>
      <c r="K153" s="11" t="n"/>
      <c r="L153" s="25">
        <f>IF($B153="","",IF($F153="",Metodo!$C$30,IF(AND($F153&gt;=80,$F153&lt;=250),Metodo!$C$28,IF(OR(AND($F153&gt;=40,$F153&lt;=79),AND($F153&gt;=251,$F153&lt;=400)),Metodo!$C$29,Metodo!$C$30)))+IFERROR(INDEX(Metodo!$C$32:$C$35,MATCH($G153,Metodo!$B$32:$B$35,0)),0)+COUNTIF($H153:$J153,"Sim")*Metodo!$C$37+IFERROR(INDEX(Metodo!$C$39:$C$41,MATCH($K153,Metodo!$B$39:$B$41,0)),0))</f>
        <v/>
      </c>
      <c r="M153" s="25">
        <f>IF($L153="","",IF($L153&gt;=Metodo!$C$43,"A",IF($L153&gt;=Metodo!$C$44,"B","C")))</f>
        <v/>
      </c>
      <c r="N153" s="11" t="n"/>
      <c r="O153" s="38" t="n"/>
      <c r="P153" s="31" t="n"/>
      <c r="Q153" s="11" t="n"/>
      <c r="R153" s="38" t="n"/>
      <c r="S153" s="11" t="n"/>
      <c r="T153" s="11" t="n"/>
    </row>
    <row r="154">
      <c r="A154" s="25">
        <f>IF($B154="","",ROW()-1)</f>
        <v/>
      </c>
      <c r="B154" s="27" t="n"/>
      <c r="C154" s="27" t="n"/>
      <c r="D154" s="27" t="n"/>
      <c r="E154" s="27" t="n"/>
      <c r="F154" s="28" t="n"/>
      <c r="G154" s="27" t="n"/>
      <c r="H154" s="27" t="n"/>
      <c r="I154" s="27" t="n"/>
      <c r="J154" s="27" t="n"/>
      <c r="K154" s="27" t="n"/>
      <c r="L154" s="25">
        <f>IF($B154="","",IF($F154="",Metodo!$C$30,IF(AND($F154&gt;=80,$F154&lt;=250),Metodo!$C$28,IF(OR(AND($F154&gt;=40,$F154&lt;=79),AND($F154&gt;=251,$F154&lt;=400)),Metodo!$C$29,Metodo!$C$30)))+IFERROR(INDEX(Metodo!$C$32:$C$35,MATCH($G154,Metodo!$B$32:$B$35,0)),0)+COUNTIF($H154:$J154,"Sim")*Metodo!$C$37+IFERROR(INDEX(Metodo!$C$39:$C$41,MATCH($K154,Metodo!$B$39:$B$41,0)),0))</f>
        <v/>
      </c>
      <c r="M154" s="25">
        <f>IF($L154="","",IF($L154&gt;=Metodo!$C$43,"A",IF($L154&gt;=Metodo!$C$44,"B","C")))</f>
        <v/>
      </c>
      <c r="N154" s="27" t="n"/>
      <c r="O154" s="37" t="n"/>
      <c r="P154" s="28" t="n"/>
      <c r="Q154" s="27" t="n"/>
      <c r="R154" s="37" t="n"/>
      <c r="S154" s="27" t="n"/>
      <c r="T154" s="27" t="n"/>
    </row>
    <row r="155">
      <c r="A155" s="25">
        <f>IF($B155="","",ROW()-1)</f>
        <v/>
      </c>
      <c r="B155" s="11" t="n"/>
      <c r="C155" s="11" t="n"/>
      <c r="D155" s="11" t="n"/>
      <c r="E155" s="11" t="n"/>
      <c r="F155" s="31" t="n"/>
      <c r="G155" s="11" t="n"/>
      <c r="H155" s="11" t="n"/>
      <c r="I155" s="11" t="n"/>
      <c r="J155" s="11" t="n"/>
      <c r="K155" s="11" t="n"/>
      <c r="L155" s="25">
        <f>IF($B155="","",IF($F155="",Metodo!$C$30,IF(AND($F155&gt;=80,$F155&lt;=250),Metodo!$C$28,IF(OR(AND($F155&gt;=40,$F155&lt;=79),AND($F155&gt;=251,$F155&lt;=400)),Metodo!$C$29,Metodo!$C$30)))+IFERROR(INDEX(Metodo!$C$32:$C$35,MATCH($G155,Metodo!$B$32:$B$35,0)),0)+COUNTIF($H155:$J155,"Sim")*Metodo!$C$37+IFERROR(INDEX(Metodo!$C$39:$C$41,MATCH($K155,Metodo!$B$39:$B$41,0)),0))</f>
        <v/>
      </c>
      <c r="M155" s="25">
        <f>IF($L155="","",IF($L155&gt;=Metodo!$C$43,"A",IF($L155&gt;=Metodo!$C$44,"B","C")))</f>
        <v/>
      </c>
      <c r="N155" s="11" t="n"/>
      <c r="O155" s="38" t="n"/>
      <c r="P155" s="31" t="n"/>
      <c r="Q155" s="11" t="n"/>
      <c r="R155" s="38" t="n"/>
      <c r="S155" s="11" t="n"/>
      <c r="T155" s="11" t="n"/>
    </row>
    <row r="156">
      <c r="A156" s="25">
        <f>IF($B156="","",ROW()-1)</f>
        <v/>
      </c>
      <c r="B156" s="27" t="n"/>
      <c r="C156" s="27" t="n"/>
      <c r="D156" s="27" t="n"/>
      <c r="E156" s="27" t="n"/>
      <c r="F156" s="28" t="n"/>
      <c r="G156" s="27" t="n"/>
      <c r="H156" s="27" t="n"/>
      <c r="I156" s="27" t="n"/>
      <c r="J156" s="27" t="n"/>
      <c r="K156" s="27" t="n"/>
      <c r="L156" s="25">
        <f>IF($B156="","",IF($F156="",Metodo!$C$30,IF(AND($F156&gt;=80,$F156&lt;=250),Metodo!$C$28,IF(OR(AND($F156&gt;=40,$F156&lt;=79),AND($F156&gt;=251,$F156&lt;=400)),Metodo!$C$29,Metodo!$C$30)))+IFERROR(INDEX(Metodo!$C$32:$C$35,MATCH($G156,Metodo!$B$32:$B$35,0)),0)+COUNTIF($H156:$J156,"Sim")*Metodo!$C$37+IFERROR(INDEX(Metodo!$C$39:$C$41,MATCH($K156,Metodo!$B$39:$B$41,0)),0))</f>
        <v/>
      </c>
      <c r="M156" s="25">
        <f>IF($L156="","",IF($L156&gt;=Metodo!$C$43,"A",IF($L156&gt;=Metodo!$C$44,"B","C")))</f>
        <v/>
      </c>
      <c r="N156" s="27" t="n"/>
      <c r="O156" s="37" t="n"/>
      <c r="P156" s="28" t="n"/>
      <c r="Q156" s="27" t="n"/>
      <c r="R156" s="37" t="n"/>
      <c r="S156" s="27" t="n"/>
      <c r="T156" s="27" t="n"/>
    </row>
    <row r="157">
      <c r="A157" s="25">
        <f>IF($B157="","",ROW()-1)</f>
        <v/>
      </c>
      <c r="B157" s="11" t="n"/>
      <c r="C157" s="11" t="n"/>
      <c r="D157" s="11" t="n"/>
      <c r="E157" s="11" t="n"/>
      <c r="F157" s="31" t="n"/>
      <c r="G157" s="11" t="n"/>
      <c r="H157" s="11" t="n"/>
      <c r="I157" s="11" t="n"/>
      <c r="J157" s="11" t="n"/>
      <c r="K157" s="11" t="n"/>
      <c r="L157" s="25">
        <f>IF($B157="","",IF($F157="",Metodo!$C$30,IF(AND($F157&gt;=80,$F157&lt;=250),Metodo!$C$28,IF(OR(AND($F157&gt;=40,$F157&lt;=79),AND($F157&gt;=251,$F157&lt;=400)),Metodo!$C$29,Metodo!$C$30)))+IFERROR(INDEX(Metodo!$C$32:$C$35,MATCH($G157,Metodo!$B$32:$B$35,0)),0)+COUNTIF($H157:$J157,"Sim")*Metodo!$C$37+IFERROR(INDEX(Metodo!$C$39:$C$41,MATCH($K157,Metodo!$B$39:$B$41,0)),0))</f>
        <v/>
      </c>
      <c r="M157" s="25">
        <f>IF($L157="","",IF($L157&gt;=Metodo!$C$43,"A",IF($L157&gt;=Metodo!$C$44,"B","C")))</f>
        <v/>
      </c>
      <c r="N157" s="11" t="n"/>
      <c r="O157" s="38" t="n"/>
      <c r="P157" s="31" t="n"/>
      <c r="Q157" s="11" t="n"/>
      <c r="R157" s="38" t="n"/>
      <c r="S157" s="11" t="n"/>
      <c r="T157" s="11" t="n"/>
    </row>
    <row r="158">
      <c r="A158" s="25">
        <f>IF($B158="","",ROW()-1)</f>
        <v/>
      </c>
      <c r="B158" s="27" t="n"/>
      <c r="C158" s="27" t="n"/>
      <c r="D158" s="27" t="n"/>
      <c r="E158" s="27" t="n"/>
      <c r="F158" s="28" t="n"/>
      <c r="G158" s="27" t="n"/>
      <c r="H158" s="27" t="n"/>
      <c r="I158" s="27" t="n"/>
      <c r="J158" s="27" t="n"/>
      <c r="K158" s="27" t="n"/>
      <c r="L158" s="25">
        <f>IF($B158="","",IF($F158="",Metodo!$C$30,IF(AND($F158&gt;=80,$F158&lt;=250),Metodo!$C$28,IF(OR(AND($F158&gt;=40,$F158&lt;=79),AND($F158&gt;=251,$F158&lt;=400)),Metodo!$C$29,Metodo!$C$30)))+IFERROR(INDEX(Metodo!$C$32:$C$35,MATCH($G158,Metodo!$B$32:$B$35,0)),0)+COUNTIF($H158:$J158,"Sim")*Metodo!$C$37+IFERROR(INDEX(Metodo!$C$39:$C$41,MATCH($K158,Metodo!$B$39:$B$41,0)),0))</f>
        <v/>
      </c>
      <c r="M158" s="25">
        <f>IF($L158="","",IF($L158&gt;=Metodo!$C$43,"A",IF($L158&gt;=Metodo!$C$44,"B","C")))</f>
        <v/>
      </c>
      <c r="N158" s="27" t="n"/>
      <c r="O158" s="37" t="n"/>
      <c r="P158" s="28" t="n"/>
      <c r="Q158" s="27" t="n"/>
      <c r="R158" s="37" t="n"/>
      <c r="S158" s="27" t="n"/>
      <c r="T158" s="27" t="n"/>
    </row>
    <row r="159">
      <c r="A159" s="25">
        <f>IF($B159="","",ROW()-1)</f>
        <v/>
      </c>
      <c r="B159" s="11" t="n"/>
      <c r="C159" s="11" t="n"/>
      <c r="D159" s="11" t="n"/>
      <c r="E159" s="11" t="n"/>
      <c r="F159" s="31" t="n"/>
      <c r="G159" s="11" t="n"/>
      <c r="H159" s="11" t="n"/>
      <c r="I159" s="11" t="n"/>
      <c r="J159" s="11" t="n"/>
      <c r="K159" s="11" t="n"/>
      <c r="L159" s="25">
        <f>IF($B159="","",IF($F159="",Metodo!$C$30,IF(AND($F159&gt;=80,$F159&lt;=250),Metodo!$C$28,IF(OR(AND($F159&gt;=40,$F159&lt;=79),AND($F159&gt;=251,$F159&lt;=400)),Metodo!$C$29,Metodo!$C$30)))+IFERROR(INDEX(Metodo!$C$32:$C$35,MATCH($G159,Metodo!$B$32:$B$35,0)),0)+COUNTIF($H159:$J159,"Sim")*Metodo!$C$37+IFERROR(INDEX(Metodo!$C$39:$C$41,MATCH($K159,Metodo!$B$39:$B$41,0)),0))</f>
        <v/>
      </c>
      <c r="M159" s="25">
        <f>IF($L159="","",IF($L159&gt;=Metodo!$C$43,"A",IF($L159&gt;=Metodo!$C$44,"B","C")))</f>
        <v/>
      </c>
      <c r="N159" s="11" t="n"/>
      <c r="O159" s="38" t="n"/>
      <c r="P159" s="31" t="n"/>
      <c r="Q159" s="11" t="n"/>
      <c r="R159" s="38" t="n"/>
      <c r="S159" s="11" t="n"/>
      <c r="T159" s="11" t="n"/>
    </row>
    <row r="160">
      <c r="A160" s="25">
        <f>IF($B160="","",ROW()-1)</f>
        <v/>
      </c>
      <c r="B160" s="27" t="n"/>
      <c r="C160" s="27" t="n"/>
      <c r="D160" s="27" t="n"/>
      <c r="E160" s="27" t="n"/>
      <c r="F160" s="28" t="n"/>
      <c r="G160" s="27" t="n"/>
      <c r="H160" s="27" t="n"/>
      <c r="I160" s="27" t="n"/>
      <c r="J160" s="27" t="n"/>
      <c r="K160" s="27" t="n"/>
      <c r="L160" s="25">
        <f>IF($B160="","",IF($F160="",Metodo!$C$30,IF(AND($F160&gt;=80,$F160&lt;=250),Metodo!$C$28,IF(OR(AND($F160&gt;=40,$F160&lt;=79),AND($F160&gt;=251,$F160&lt;=400)),Metodo!$C$29,Metodo!$C$30)))+IFERROR(INDEX(Metodo!$C$32:$C$35,MATCH($G160,Metodo!$B$32:$B$35,0)),0)+COUNTIF($H160:$J160,"Sim")*Metodo!$C$37+IFERROR(INDEX(Metodo!$C$39:$C$41,MATCH($K160,Metodo!$B$39:$B$41,0)),0))</f>
        <v/>
      </c>
      <c r="M160" s="25">
        <f>IF($L160="","",IF($L160&gt;=Metodo!$C$43,"A",IF($L160&gt;=Metodo!$C$44,"B","C")))</f>
        <v/>
      </c>
      <c r="N160" s="27" t="n"/>
      <c r="O160" s="37" t="n"/>
      <c r="P160" s="28" t="n"/>
      <c r="Q160" s="27" t="n"/>
      <c r="R160" s="37" t="n"/>
      <c r="S160" s="27" t="n"/>
      <c r="T160" s="27" t="n"/>
    </row>
    <row r="161">
      <c r="A161" s="25">
        <f>IF($B161="","",ROW()-1)</f>
        <v/>
      </c>
      <c r="B161" s="11" t="n"/>
      <c r="C161" s="11" t="n"/>
      <c r="D161" s="11" t="n"/>
      <c r="E161" s="11" t="n"/>
      <c r="F161" s="31" t="n"/>
      <c r="G161" s="11" t="n"/>
      <c r="H161" s="11" t="n"/>
      <c r="I161" s="11" t="n"/>
      <c r="J161" s="11" t="n"/>
      <c r="K161" s="11" t="n"/>
      <c r="L161" s="25">
        <f>IF($B161="","",IF($F161="",Metodo!$C$30,IF(AND($F161&gt;=80,$F161&lt;=250),Metodo!$C$28,IF(OR(AND($F161&gt;=40,$F161&lt;=79),AND($F161&gt;=251,$F161&lt;=400)),Metodo!$C$29,Metodo!$C$30)))+IFERROR(INDEX(Metodo!$C$32:$C$35,MATCH($G161,Metodo!$B$32:$B$35,0)),0)+COUNTIF($H161:$J161,"Sim")*Metodo!$C$37+IFERROR(INDEX(Metodo!$C$39:$C$41,MATCH($K161,Metodo!$B$39:$B$41,0)),0))</f>
        <v/>
      </c>
      <c r="M161" s="25">
        <f>IF($L161="","",IF($L161&gt;=Metodo!$C$43,"A",IF($L161&gt;=Metodo!$C$44,"B","C")))</f>
        <v/>
      </c>
      <c r="N161" s="11" t="n"/>
      <c r="O161" s="38" t="n"/>
      <c r="P161" s="31" t="n"/>
      <c r="Q161" s="11" t="n"/>
      <c r="R161" s="38" t="n"/>
      <c r="S161" s="11" t="n"/>
      <c r="T161" s="11" t="n"/>
    </row>
    <row r="162">
      <c r="A162" s="25">
        <f>IF($B162="","",ROW()-1)</f>
        <v/>
      </c>
      <c r="B162" s="27" t="n"/>
      <c r="C162" s="27" t="n"/>
      <c r="D162" s="27" t="n"/>
      <c r="E162" s="27" t="n"/>
      <c r="F162" s="28" t="n"/>
      <c r="G162" s="27" t="n"/>
      <c r="H162" s="27" t="n"/>
      <c r="I162" s="27" t="n"/>
      <c r="J162" s="27" t="n"/>
      <c r="K162" s="27" t="n"/>
      <c r="L162" s="25">
        <f>IF($B162="","",IF($F162="",Metodo!$C$30,IF(AND($F162&gt;=80,$F162&lt;=250),Metodo!$C$28,IF(OR(AND($F162&gt;=40,$F162&lt;=79),AND($F162&gt;=251,$F162&lt;=400)),Metodo!$C$29,Metodo!$C$30)))+IFERROR(INDEX(Metodo!$C$32:$C$35,MATCH($G162,Metodo!$B$32:$B$35,0)),0)+COUNTIF($H162:$J162,"Sim")*Metodo!$C$37+IFERROR(INDEX(Metodo!$C$39:$C$41,MATCH($K162,Metodo!$B$39:$B$41,0)),0))</f>
        <v/>
      </c>
      <c r="M162" s="25">
        <f>IF($L162="","",IF($L162&gt;=Metodo!$C$43,"A",IF($L162&gt;=Metodo!$C$44,"B","C")))</f>
        <v/>
      </c>
      <c r="N162" s="27" t="n"/>
      <c r="O162" s="37" t="n"/>
      <c r="P162" s="28" t="n"/>
      <c r="Q162" s="27" t="n"/>
      <c r="R162" s="37" t="n"/>
      <c r="S162" s="27" t="n"/>
      <c r="T162" s="27" t="n"/>
    </row>
    <row r="163">
      <c r="A163" s="25">
        <f>IF($B163="","",ROW()-1)</f>
        <v/>
      </c>
      <c r="B163" s="11" t="n"/>
      <c r="C163" s="11" t="n"/>
      <c r="D163" s="11" t="n"/>
      <c r="E163" s="11" t="n"/>
      <c r="F163" s="31" t="n"/>
      <c r="G163" s="11" t="n"/>
      <c r="H163" s="11" t="n"/>
      <c r="I163" s="11" t="n"/>
      <c r="J163" s="11" t="n"/>
      <c r="K163" s="11" t="n"/>
      <c r="L163" s="25">
        <f>IF($B163="","",IF($F163="",Metodo!$C$30,IF(AND($F163&gt;=80,$F163&lt;=250),Metodo!$C$28,IF(OR(AND($F163&gt;=40,$F163&lt;=79),AND($F163&gt;=251,$F163&lt;=400)),Metodo!$C$29,Metodo!$C$30)))+IFERROR(INDEX(Metodo!$C$32:$C$35,MATCH($G163,Metodo!$B$32:$B$35,0)),0)+COUNTIF($H163:$J163,"Sim")*Metodo!$C$37+IFERROR(INDEX(Metodo!$C$39:$C$41,MATCH($K163,Metodo!$B$39:$B$41,0)),0))</f>
        <v/>
      </c>
      <c r="M163" s="25">
        <f>IF($L163="","",IF($L163&gt;=Metodo!$C$43,"A",IF($L163&gt;=Metodo!$C$44,"B","C")))</f>
        <v/>
      </c>
      <c r="N163" s="11" t="n"/>
      <c r="O163" s="38" t="n"/>
      <c r="P163" s="31" t="n"/>
      <c r="Q163" s="11" t="n"/>
      <c r="R163" s="38" t="n"/>
      <c r="S163" s="11" t="n"/>
      <c r="T163" s="11" t="n"/>
    </row>
    <row r="164">
      <c r="A164" s="25">
        <f>IF($B164="","",ROW()-1)</f>
        <v/>
      </c>
      <c r="B164" s="27" t="n"/>
      <c r="C164" s="27" t="n"/>
      <c r="D164" s="27" t="n"/>
      <c r="E164" s="27" t="n"/>
      <c r="F164" s="28" t="n"/>
      <c r="G164" s="27" t="n"/>
      <c r="H164" s="27" t="n"/>
      <c r="I164" s="27" t="n"/>
      <c r="J164" s="27" t="n"/>
      <c r="K164" s="27" t="n"/>
      <c r="L164" s="25">
        <f>IF($B164="","",IF($F164="",Metodo!$C$30,IF(AND($F164&gt;=80,$F164&lt;=250),Metodo!$C$28,IF(OR(AND($F164&gt;=40,$F164&lt;=79),AND($F164&gt;=251,$F164&lt;=400)),Metodo!$C$29,Metodo!$C$30)))+IFERROR(INDEX(Metodo!$C$32:$C$35,MATCH($G164,Metodo!$B$32:$B$35,0)),0)+COUNTIF($H164:$J164,"Sim")*Metodo!$C$37+IFERROR(INDEX(Metodo!$C$39:$C$41,MATCH($K164,Metodo!$B$39:$B$41,0)),0))</f>
        <v/>
      </c>
      <c r="M164" s="25">
        <f>IF($L164="","",IF($L164&gt;=Metodo!$C$43,"A",IF($L164&gt;=Metodo!$C$44,"B","C")))</f>
        <v/>
      </c>
      <c r="N164" s="27" t="n"/>
      <c r="O164" s="37" t="n"/>
      <c r="P164" s="28" t="n"/>
      <c r="Q164" s="27" t="n"/>
      <c r="R164" s="37" t="n"/>
      <c r="S164" s="27" t="n"/>
      <c r="T164" s="27" t="n"/>
    </row>
    <row r="165">
      <c r="A165" s="25">
        <f>IF($B165="","",ROW()-1)</f>
        <v/>
      </c>
      <c r="B165" s="11" t="n"/>
      <c r="C165" s="11" t="n"/>
      <c r="D165" s="11" t="n"/>
      <c r="E165" s="11" t="n"/>
      <c r="F165" s="31" t="n"/>
      <c r="G165" s="11" t="n"/>
      <c r="H165" s="11" t="n"/>
      <c r="I165" s="11" t="n"/>
      <c r="J165" s="11" t="n"/>
      <c r="K165" s="11" t="n"/>
      <c r="L165" s="25">
        <f>IF($B165="","",IF($F165="",Metodo!$C$30,IF(AND($F165&gt;=80,$F165&lt;=250),Metodo!$C$28,IF(OR(AND($F165&gt;=40,$F165&lt;=79),AND($F165&gt;=251,$F165&lt;=400)),Metodo!$C$29,Metodo!$C$30)))+IFERROR(INDEX(Metodo!$C$32:$C$35,MATCH($G165,Metodo!$B$32:$B$35,0)),0)+COUNTIF($H165:$J165,"Sim")*Metodo!$C$37+IFERROR(INDEX(Metodo!$C$39:$C$41,MATCH($K165,Metodo!$B$39:$B$41,0)),0))</f>
        <v/>
      </c>
      <c r="M165" s="25">
        <f>IF($L165="","",IF($L165&gt;=Metodo!$C$43,"A",IF($L165&gt;=Metodo!$C$44,"B","C")))</f>
        <v/>
      </c>
      <c r="N165" s="11" t="n"/>
      <c r="O165" s="38" t="n"/>
      <c r="P165" s="31" t="n"/>
      <c r="Q165" s="11" t="n"/>
      <c r="R165" s="38" t="n"/>
      <c r="S165" s="11" t="n"/>
      <c r="T165" s="11" t="n"/>
    </row>
    <row r="166">
      <c r="A166" s="25">
        <f>IF($B166="","",ROW()-1)</f>
        <v/>
      </c>
      <c r="B166" s="27" t="n"/>
      <c r="C166" s="27" t="n"/>
      <c r="D166" s="27" t="n"/>
      <c r="E166" s="27" t="n"/>
      <c r="F166" s="28" t="n"/>
      <c r="G166" s="27" t="n"/>
      <c r="H166" s="27" t="n"/>
      <c r="I166" s="27" t="n"/>
      <c r="J166" s="27" t="n"/>
      <c r="K166" s="27" t="n"/>
      <c r="L166" s="25">
        <f>IF($B166="","",IF($F166="",Metodo!$C$30,IF(AND($F166&gt;=80,$F166&lt;=250),Metodo!$C$28,IF(OR(AND($F166&gt;=40,$F166&lt;=79),AND($F166&gt;=251,$F166&lt;=400)),Metodo!$C$29,Metodo!$C$30)))+IFERROR(INDEX(Metodo!$C$32:$C$35,MATCH($G166,Metodo!$B$32:$B$35,0)),0)+COUNTIF($H166:$J166,"Sim")*Metodo!$C$37+IFERROR(INDEX(Metodo!$C$39:$C$41,MATCH($K166,Metodo!$B$39:$B$41,0)),0))</f>
        <v/>
      </c>
      <c r="M166" s="25">
        <f>IF($L166="","",IF($L166&gt;=Metodo!$C$43,"A",IF($L166&gt;=Metodo!$C$44,"B","C")))</f>
        <v/>
      </c>
      <c r="N166" s="27" t="n"/>
      <c r="O166" s="37" t="n"/>
      <c r="P166" s="28" t="n"/>
      <c r="Q166" s="27" t="n"/>
      <c r="R166" s="37" t="n"/>
      <c r="S166" s="27" t="n"/>
      <c r="T166" s="27" t="n"/>
    </row>
    <row r="167">
      <c r="A167" s="25">
        <f>IF($B167="","",ROW()-1)</f>
        <v/>
      </c>
      <c r="B167" s="11" t="n"/>
      <c r="C167" s="11" t="n"/>
      <c r="D167" s="11" t="n"/>
      <c r="E167" s="11" t="n"/>
      <c r="F167" s="31" t="n"/>
      <c r="G167" s="11" t="n"/>
      <c r="H167" s="11" t="n"/>
      <c r="I167" s="11" t="n"/>
      <c r="J167" s="11" t="n"/>
      <c r="K167" s="11" t="n"/>
      <c r="L167" s="25">
        <f>IF($B167="","",IF($F167="",Metodo!$C$30,IF(AND($F167&gt;=80,$F167&lt;=250),Metodo!$C$28,IF(OR(AND($F167&gt;=40,$F167&lt;=79),AND($F167&gt;=251,$F167&lt;=400)),Metodo!$C$29,Metodo!$C$30)))+IFERROR(INDEX(Metodo!$C$32:$C$35,MATCH($G167,Metodo!$B$32:$B$35,0)),0)+COUNTIF($H167:$J167,"Sim")*Metodo!$C$37+IFERROR(INDEX(Metodo!$C$39:$C$41,MATCH($K167,Metodo!$B$39:$B$41,0)),0))</f>
        <v/>
      </c>
      <c r="M167" s="25">
        <f>IF($L167="","",IF($L167&gt;=Metodo!$C$43,"A",IF($L167&gt;=Metodo!$C$44,"B","C")))</f>
        <v/>
      </c>
      <c r="N167" s="11" t="n"/>
      <c r="O167" s="38" t="n"/>
      <c r="P167" s="31" t="n"/>
      <c r="Q167" s="11" t="n"/>
      <c r="R167" s="38" t="n"/>
      <c r="S167" s="11" t="n"/>
      <c r="T167" s="11" t="n"/>
    </row>
    <row r="168">
      <c r="A168" s="25">
        <f>IF($B168="","",ROW()-1)</f>
        <v/>
      </c>
      <c r="B168" s="27" t="n"/>
      <c r="C168" s="27" t="n"/>
      <c r="D168" s="27" t="n"/>
      <c r="E168" s="27" t="n"/>
      <c r="F168" s="28" t="n"/>
      <c r="G168" s="27" t="n"/>
      <c r="H168" s="27" t="n"/>
      <c r="I168" s="27" t="n"/>
      <c r="J168" s="27" t="n"/>
      <c r="K168" s="27" t="n"/>
      <c r="L168" s="25">
        <f>IF($B168="","",IF($F168="",Metodo!$C$30,IF(AND($F168&gt;=80,$F168&lt;=250),Metodo!$C$28,IF(OR(AND($F168&gt;=40,$F168&lt;=79),AND($F168&gt;=251,$F168&lt;=400)),Metodo!$C$29,Metodo!$C$30)))+IFERROR(INDEX(Metodo!$C$32:$C$35,MATCH($G168,Metodo!$B$32:$B$35,0)),0)+COUNTIF($H168:$J168,"Sim")*Metodo!$C$37+IFERROR(INDEX(Metodo!$C$39:$C$41,MATCH($K168,Metodo!$B$39:$B$41,0)),0))</f>
        <v/>
      </c>
      <c r="M168" s="25">
        <f>IF($L168="","",IF($L168&gt;=Metodo!$C$43,"A",IF($L168&gt;=Metodo!$C$44,"B","C")))</f>
        <v/>
      </c>
      <c r="N168" s="27" t="n"/>
      <c r="O168" s="37" t="n"/>
      <c r="P168" s="28" t="n"/>
      <c r="Q168" s="27" t="n"/>
      <c r="R168" s="37" t="n"/>
      <c r="S168" s="27" t="n"/>
      <c r="T168" s="27" t="n"/>
    </row>
    <row r="169">
      <c r="A169" s="25">
        <f>IF($B169="","",ROW()-1)</f>
        <v/>
      </c>
      <c r="B169" s="11" t="n"/>
      <c r="C169" s="11" t="n"/>
      <c r="D169" s="11" t="n"/>
      <c r="E169" s="11" t="n"/>
      <c r="F169" s="31" t="n"/>
      <c r="G169" s="11" t="n"/>
      <c r="H169" s="11" t="n"/>
      <c r="I169" s="11" t="n"/>
      <c r="J169" s="11" t="n"/>
      <c r="K169" s="11" t="n"/>
      <c r="L169" s="25">
        <f>IF($B169="","",IF($F169="",Metodo!$C$30,IF(AND($F169&gt;=80,$F169&lt;=250),Metodo!$C$28,IF(OR(AND($F169&gt;=40,$F169&lt;=79),AND($F169&gt;=251,$F169&lt;=400)),Metodo!$C$29,Metodo!$C$30)))+IFERROR(INDEX(Metodo!$C$32:$C$35,MATCH($G169,Metodo!$B$32:$B$35,0)),0)+COUNTIF($H169:$J169,"Sim")*Metodo!$C$37+IFERROR(INDEX(Metodo!$C$39:$C$41,MATCH($K169,Metodo!$B$39:$B$41,0)),0))</f>
        <v/>
      </c>
      <c r="M169" s="25">
        <f>IF($L169="","",IF($L169&gt;=Metodo!$C$43,"A",IF($L169&gt;=Metodo!$C$44,"B","C")))</f>
        <v/>
      </c>
      <c r="N169" s="11" t="n"/>
      <c r="O169" s="38" t="n"/>
      <c r="P169" s="31" t="n"/>
      <c r="Q169" s="11" t="n"/>
      <c r="R169" s="38" t="n"/>
      <c r="S169" s="11" t="n"/>
      <c r="T169" s="11" t="n"/>
    </row>
    <row r="170">
      <c r="A170" s="25">
        <f>IF($B170="","",ROW()-1)</f>
        <v/>
      </c>
      <c r="B170" s="27" t="n"/>
      <c r="C170" s="27" t="n"/>
      <c r="D170" s="27" t="n"/>
      <c r="E170" s="27" t="n"/>
      <c r="F170" s="28" t="n"/>
      <c r="G170" s="27" t="n"/>
      <c r="H170" s="27" t="n"/>
      <c r="I170" s="27" t="n"/>
      <c r="J170" s="27" t="n"/>
      <c r="K170" s="27" t="n"/>
      <c r="L170" s="25">
        <f>IF($B170="","",IF($F170="",Metodo!$C$30,IF(AND($F170&gt;=80,$F170&lt;=250),Metodo!$C$28,IF(OR(AND($F170&gt;=40,$F170&lt;=79),AND($F170&gt;=251,$F170&lt;=400)),Metodo!$C$29,Metodo!$C$30)))+IFERROR(INDEX(Metodo!$C$32:$C$35,MATCH($G170,Metodo!$B$32:$B$35,0)),0)+COUNTIF($H170:$J170,"Sim")*Metodo!$C$37+IFERROR(INDEX(Metodo!$C$39:$C$41,MATCH($K170,Metodo!$B$39:$B$41,0)),0))</f>
        <v/>
      </c>
      <c r="M170" s="25">
        <f>IF($L170="","",IF($L170&gt;=Metodo!$C$43,"A",IF($L170&gt;=Metodo!$C$44,"B","C")))</f>
        <v/>
      </c>
      <c r="N170" s="27" t="n"/>
      <c r="O170" s="37" t="n"/>
      <c r="P170" s="28" t="n"/>
      <c r="Q170" s="27" t="n"/>
      <c r="R170" s="37" t="n"/>
      <c r="S170" s="27" t="n"/>
      <c r="T170" s="27" t="n"/>
    </row>
    <row r="171">
      <c r="A171" s="25">
        <f>IF($B171="","",ROW()-1)</f>
        <v/>
      </c>
      <c r="B171" s="11" t="n"/>
      <c r="C171" s="11" t="n"/>
      <c r="D171" s="11" t="n"/>
      <c r="E171" s="11" t="n"/>
      <c r="F171" s="31" t="n"/>
      <c r="G171" s="11" t="n"/>
      <c r="H171" s="11" t="n"/>
      <c r="I171" s="11" t="n"/>
      <c r="J171" s="11" t="n"/>
      <c r="K171" s="11" t="n"/>
      <c r="L171" s="25">
        <f>IF($B171="","",IF($F171="",Metodo!$C$30,IF(AND($F171&gt;=80,$F171&lt;=250),Metodo!$C$28,IF(OR(AND($F171&gt;=40,$F171&lt;=79),AND($F171&gt;=251,$F171&lt;=400)),Metodo!$C$29,Metodo!$C$30)))+IFERROR(INDEX(Metodo!$C$32:$C$35,MATCH($G171,Metodo!$B$32:$B$35,0)),0)+COUNTIF($H171:$J171,"Sim")*Metodo!$C$37+IFERROR(INDEX(Metodo!$C$39:$C$41,MATCH($K171,Metodo!$B$39:$B$41,0)),0))</f>
        <v/>
      </c>
      <c r="M171" s="25">
        <f>IF($L171="","",IF($L171&gt;=Metodo!$C$43,"A",IF($L171&gt;=Metodo!$C$44,"B","C")))</f>
        <v/>
      </c>
      <c r="N171" s="11" t="n"/>
      <c r="O171" s="38" t="n"/>
      <c r="P171" s="31" t="n"/>
      <c r="Q171" s="11" t="n"/>
      <c r="R171" s="38" t="n"/>
      <c r="S171" s="11" t="n"/>
      <c r="T171" s="11" t="n"/>
    </row>
    <row r="172">
      <c r="A172" s="25">
        <f>IF($B172="","",ROW()-1)</f>
        <v/>
      </c>
      <c r="B172" s="27" t="n"/>
      <c r="C172" s="27" t="n"/>
      <c r="D172" s="27" t="n"/>
      <c r="E172" s="27" t="n"/>
      <c r="F172" s="28" t="n"/>
      <c r="G172" s="27" t="n"/>
      <c r="H172" s="27" t="n"/>
      <c r="I172" s="27" t="n"/>
      <c r="J172" s="27" t="n"/>
      <c r="K172" s="27" t="n"/>
      <c r="L172" s="25">
        <f>IF($B172="","",IF($F172="",Metodo!$C$30,IF(AND($F172&gt;=80,$F172&lt;=250),Metodo!$C$28,IF(OR(AND($F172&gt;=40,$F172&lt;=79),AND($F172&gt;=251,$F172&lt;=400)),Metodo!$C$29,Metodo!$C$30)))+IFERROR(INDEX(Metodo!$C$32:$C$35,MATCH($G172,Metodo!$B$32:$B$35,0)),0)+COUNTIF($H172:$J172,"Sim")*Metodo!$C$37+IFERROR(INDEX(Metodo!$C$39:$C$41,MATCH($K172,Metodo!$B$39:$B$41,0)),0))</f>
        <v/>
      </c>
      <c r="M172" s="25">
        <f>IF($L172="","",IF($L172&gt;=Metodo!$C$43,"A",IF($L172&gt;=Metodo!$C$44,"B","C")))</f>
        <v/>
      </c>
      <c r="N172" s="27" t="n"/>
      <c r="O172" s="37" t="n"/>
      <c r="P172" s="28" t="n"/>
      <c r="Q172" s="27" t="n"/>
      <c r="R172" s="37" t="n"/>
      <c r="S172" s="27" t="n"/>
      <c r="T172" s="27" t="n"/>
    </row>
    <row r="173">
      <c r="A173" s="25">
        <f>IF($B173="","",ROW()-1)</f>
        <v/>
      </c>
      <c r="B173" s="11" t="n"/>
      <c r="C173" s="11" t="n"/>
      <c r="D173" s="11" t="n"/>
      <c r="E173" s="11" t="n"/>
      <c r="F173" s="31" t="n"/>
      <c r="G173" s="11" t="n"/>
      <c r="H173" s="11" t="n"/>
      <c r="I173" s="11" t="n"/>
      <c r="J173" s="11" t="n"/>
      <c r="K173" s="11" t="n"/>
      <c r="L173" s="25">
        <f>IF($B173="","",IF($F173="",Metodo!$C$30,IF(AND($F173&gt;=80,$F173&lt;=250),Metodo!$C$28,IF(OR(AND($F173&gt;=40,$F173&lt;=79),AND($F173&gt;=251,$F173&lt;=400)),Metodo!$C$29,Metodo!$C$30)))+IFERROR(INDEX(Metodo!$C$32:$C$35,MATCH($G173,Metodo!$B$32:$B$35,0)),0)+COUNTIF($H173:$J173,"Sim")*Metodo!$C$37+IFERROR(INDEX(Metodo!$C$39:$C$41,MATCH($K173,Metodo!$B$39:$B$41,0)),0))</f>
        <v/>
      </c>
      <c r="M173" s="25">
        <f>IF($L173="","",IF($L173&gt;=Metodo!$C$43,"A",IF($L173&gt;=Metodo!$C$44,"B","C")))</f>
        <v/>
      </c>
      <c r="N173" s="11" t="n"/>
      <c r="O173" s="38" t="n"/>
      <c r="P173" s="31" t="n"/>
      <c r="Q173" s="11" t="n"/>
      <c r="R173" s="38" t="n"/>
      <c r="S173" s="11" t="n"/>
      <c r="T173" s="11" t="n"/>
    </row>
    <row r="174">
      <c r="A174" s="25">
        <f>IF($B174="","",ROW()-1)</f>
        <v/>
      </c>
      <c r="B174" s="27" t="n"/>
      <c r="C174" s="27" t="n"/>
      <c r="D174" s="27" t="n"/>
      <c r="E174" s="27" t="n"/>
      <c r="F174" s="28" t="n"/>
      <c r="G174" s="27" t="n"/>
      <c r="H174" s="27" t="n"/>
      <c r="I174" s="27" t="n"/>
      <c r="J174" s="27" t="n"/>
      <c r="K174" s="27" t="n"/>
      <c r="L174" s="25">
        <f>IF($B174="","",IF($F174="",Metodo!$C$30,IF(AND($F174&gt;=80,$F174&lt;=250),Metodo!$C$28,IF(OR(AND($F174&gt;=40,$F174&lt;=79),AND($F174&gt;=251,$F174&lt;=400)),Metodo!$C$29,Metodo!$C$30)))+IFERROR(INDEX(Metodo!$C$32:$C$35,MATCH($G174,Metodo!$B$32:$B$35,0)),0)+COUNTIF($H174:$J174,"Sim")*Metodo!$C$37+IFERROR(INDEX(Metodo!$C$39:$C$41,MATCH($K174,Metodo!$B$39:$B$41,0)),0))</f>
        <v/>
      </c>
      <c r="M174" s="25">
        <f>IF($L174="","",IF($L174&gt;=Metodo!$C$43,"A",IF($L174&gt;=Metodo!$C$44,"B","C")))</f>
        <v/>
      </c>
      <c r="N174" s="27" t="n"/>
      <c r="O174" s="37" t="n"/>
      <c r="P174" s="28" t="n"/>
      <c r="Q174" s="27" t="n"/>
      <c r="R174" s="37" t="n"/>
      <c r="S174" s="27" t="n"/>
      <c r="T174" s="27" t="n"/>
    </row>
    <row r="175">
      <c r="A175" s="25">
        <f>IF($B175="","",ROW()-1)</f>
        <v/>
      </c>
      <c r="B175" s="11" t="n"/>
      <c r="C175" s="11" t="n"/>
      <c r="D175" s="11" t="n"/>
      <c r="E175" s="11" t="n"/>
      <c r="F175" s="31" t="n"/>
      <c r="G175" s="11" t="n"/>
      <c r="H175" s="11" t="n"/>
      <c r="I175" s="11" t="n"/>
      <c r="J175" s="11" t="n"/>
      <c r="K175" s="11" t="n"/>
      <c r="L175" s="25">
        <f>IF($B175="","",IF($F175="",Metodo!$C$30,IF(AND($F175&gt;=80,$F175&lt;=250),Metodo!$C$28,IF(OR(AND($F175&gt;=40,$F175&lt;=79),AND($F175&gt;=251,$F175&lt;=400)),Metodo!$C$29,Metodo!$C$30)))+IFERROR(INDEX(Metodo!$C$32:$C$35,MATCH($G175,Metodo!$B$32:$B$35,0)),0)+COUNTIF($H175:$J175,"Sim")*Metodo!$C$37+IFERROR(INDEX(Metodo!$C$39:$C$41,MATCH($K175,Metodo!$B$39:$B$41,0)),0))</f>
        <v/>
      </c>
      <c r="M175" s="25">
        <f>IF($L175="","",IF($L175&gt;=Metodo!$C$43,"A",IF($L175&gt;=Metodo!$C$44,"B","C")))</f>
        <v/>
      </c>
      <c r="N175" s="11" t="n"/>
      <c r="O175" s="38" t="n"/>
      <c r="P175" s="31" t="n"/>
      <c r="Q175" s="11" t="n"/>
      <c r="R175" s="38" t="n"/>
      <c r="S175" s="11" t="n"/>
      <c r="T175" s="11" t="n"/>
    </row>
    <row r="176">
      <c r="A176" s="25">
        <f>IF($B176="","",ROW()-1)</f>
        <v/>
      </c>
      <c r="B176" s="27" t="n"/>
      <c r="C176" s="27" t="n"/>
      <c r="D176" s="27" t="n"/>
      <c r="E176" s="27" t="n"/>
      <c r="F176" s="28" t="n"/>
      <c r="G176" s="27" t="n"/>
      <c r="H176" s="27" t="n"/>
      <c r="I176" s="27" t="n"/>
      <c r="J176" s="27" t="n"/>
      <c r="K176" s="27" t="n"/>
      <c r="L176" s="25">
        <f>IF($B176="","",IF($F176="",Metodo!$C$30,IF(AND($F176&gt;=80,$F176&lt;=250),Metodo!$C$28,IF(OR(AND($F176&gt;=40,$F176&lt;=79),AND($F176&gt;=251,$F176&lt;=400)),Metodo!$C$29,Metodo!$C$30)))+IFERROR(INDEX(Metodo!$C$32:$C$35,MATCH($G176,Metodo!$B$32:$B$35,0)),0)+COUNTIF($H176:$J176,"Sim")*Metodo!$C$37+IFERROR(INDEX(Metodo!$C$39:$C$41,MATCH($K176,Metodo!$B$39:$B$41,0)),0))</f>
        <v/>
      </c>
      <c r="M176" s="25">
        <f>IF($L176="","",IF($L176&gt;=Metodo!$C$43,"A",IF($L176&gt;=Metodo!$C$44,"B","C")))</f>
        <v/>
      </c>
      <c r="N176" s="27" t="n"/>
      <c r="O176" s="37" t="n"/>
      <c r="P176" s="28" t="n"/>
      <c r="Q176" s="27" t="n"/>
      <c r="R176" s="37" t="n"/>
      <c r="S176" s="27" t="n"/>
      <c r="T176" s="27" t="n"/>
    </row>
    <row r="177">
      <c r="A177" s="25">
        <f>IF($B177="","",ROW()-1)</f>
        <v/>
      </c>
      <c r="B177" s="11" t="n"/>
      <c r="C177" s="11" t="n"/>
      <c r="D177" s="11" t="n"/>
      <c r="E177" s="11" t="n"/>
      <c r="F177" s="31" t="n"/>
      <c r="G177" s="11" t="n"/>
      <c r="H177" s="11" t="n"/>
      <c r="I177" s="11" t="n"/>
      <c r="J177" s="11" t="n"/>
      <c r="K177" s="11" t="n"/>
      <c r="L177" s="25">
        <f>IF($B177="","",IF($F177="",Metodo!$C$30,IF(AND($F177&gt;=80,$F177&lt;=250),Metodo!$C$28,IF(OR(AND($F177&gt;=40,$F177&lt;=79),AND($F177&gt;=251,$F177&lt;=400)),Metodo!$C$29,Metodo!$C$30)))+IFERROR(INDEX(Metodo!$C$32:$C$35,MATCH($G177,Metodo!$B$32:$B$35,0)),0)+COUNTIF($H177:$J177,"Sim")*Metodo!$C$37+IFERROR(INDEX(Metodo!$C$39:$C$41,MATCH($K177,Metodo!$B$39:$B$41,0)),0))</f>
        <v/>
      </c>
      <c r="M177" s="25">
        <f>IF($L177="","",IF($L177&gt;=Metodo!$C$43,"A",IF($L177&gt;=Metodo!$C$44,"B","C")))</f>
        <v/>
      </c>
      <c r="N177" s="11" t="n"/>
      <c r="O177" s="38" t="n"/>
      <c r="P177" s="31" t="n"/>
      <c r="Q177" s="11" t="n"/>
      <c r="R177" s="38" t="n"/>
      <c r="S177" s="11" t="n"/>
      <c r="T177" s="11" t="n"/>
    </row>
    <row r="178">
      <c r="A178" s="25">
        <f>IF($B178="","",ROW()-1)</f>
        <v/>
      </c>
      <c r="B178" s="27" t="n"/>
      <c r="C178" s="27" t="n"/>
      <c r="D178" s="27" t="n"/>
      <c r="E178" s="27" t="n"/>
      <c r="F178" s="28" t="n"/>
      <c r="G178" s="27" t="n"/>
      <c r="H178" s="27" t="n"/>
      <c r="I178" s="27" t="n"/>
      <c r="J178" s="27" t="n"/>
      <c r="K178" s="27" t="n"/>
      <c r="L178" s="25">
        <f>IF($B178="","",IF($F178="",Metodo!$C$30,IF(AND($F178&gt;=80,$F178&lt;=250),Metodo!$C$28,IF(OR(AND($F178&gt;=40,$F178&lt;=79),AND($F178&gt;=251,$F178&lt;=400)),Metodo!$C$29,Metodo!$C$30)))+IFERROR(INDEX(Metodo!$C$32:$C$35,MATCH($G178,Metodo!$B$32:$B$35,0)),0)+COUNTIF($H178:$J178,"Sim")*Metodo!$C$37+IFERROR(INDEX(Metodo!$C$39:$C$41,MATCH($K178,Metodo!$B$39:$B$41,0)),0))</f>
        <v/>
      </c>
      <c r="M178" s="25">
        <f>IF($L178="","",IF($L178&gt;=Metodo!$C$43,"A",IF($L178&gt;=Metodo!$C$44,"B","C")))</f>
        <v/>
      </c>
      <c r="N178" s="27" t="n"/>
      <c r="O178" s="37" t="n"/>
      <c r="P178" s="28" t="n"/>
      <c r="Q178" s="27" t="n"/>
      <c r="R178" s="37" t="n"/>
      <c r="S178" s="27" t="n"/>
      <c r="T178" s="27" t="n"/>
    </row>
    <row r="179">
      <c r="A179" s="25">
        <f>IF($B179="","",ROW()-1)</f>
        <v/>
      </c>
      <c r="B179" s="11" t="n"/>
      <c r="C179" s="11" t="n"/>
      <c r="D179" s="11" t="n"/>
      <c r="E179" s="11" t="n"/>
      <c r="F179" s="31" t="n"/>
      <c r="G179" s="11" t="n"/>
      <c r="H179" s="11" t="n"/>
      <c r="I179" s="11" t="n"/>
      <c r="J179" s="11" t="n"/>
      <c r="K179" s="11" t="n"/>
      <c r="L179" s="25">
        <f>IF($B179="","",IF($F179="",Metodo!$C$30,IF(AND($F179&gt;=80,$F179&lt;=250),Metodo!$C$28,IF(OR(AND($F179&gt;=40,$F179&lt;=79),AND($F179&gt;=251,$F179&lt;=400)),Metodo!$C$29,Metodo!$C$30)))+IFERROR(INDEX(Metodo!$C$32:$C$35,MATCH($G179,Metodo!$B$32:$B$35,0)),0)+COUNTIF($H179:$J179,"Sim")*Metodo!$C$37+IFERROR(INDEX(Metodo!$C$39:$C$41,MATCH($K179,Metodo!$B$39:$B$41,0)),0))</f>
        <v/>
      </c>
      <c r="M179" s="25">
        <f>IF($L179="","",IF($L179&gt;=Metodo!$C$43,"A",IF($L179&gt;=Metodo!$C$44,"B","C")))</f>
        <v/>
      </c>
      <c r="N179" s="11" t="n"/>
      <c r="O179" s="38" t="n"/>
      <c r="P179" s="31" t="n"/>
      <c r="Q179" s="11" t="n"/>
      <c r="R179" s="38" t="n"/>
      <c r="S179" s="11" t="n"/>
      <c r="T179" s="11" t="n"/>
    </row>
    <row r="180">
      <c r="A180" s="25">
        <f>IF($B180="","",ROW()-1)</f>
        <v/>
      </c>
      <c r="B180" s="27" t="n"/>
      <c r="C180" s="27" t="n"/>
      <c r="D180" s="27" t="n"/>
      <c r="E180" s="27" t="n"/>
      <c r="F180" s="28" t="n"/>
      <c r="G180" s="27" t="n"/>
      <c r="H180" s="27" t="n"/>
      <c r="I180" s="27" t="n"/>
      <c r="J180" s="27" t="n"/>
      <c r="K180" s="27" t="n"/>
      <c r="L180" s="25">
        <f>IF($B180="","",IF($F180="",Metodo!$C$30,IF(AND($F180&gt;=80,$F180&lt;=250),Metodo!$C$28,IF(OR(AND($F180&gt;=40,$F180&lt;=79),AND($F180&gt;=251,$F180&lt;=400)),Metodo!$C$29,Metodo!$C$30)))+IFERROR(INDEX(Metodo!$C$32:$C$35,MATCH($G180,Metodo!$B$32:$B$35,0)),0)+COUNTIF($H180:$J180,"Sim")*Metodo!$C$37+IFERROR(INDEX(Metodo!$C$39:$C$41,MATCH($K180,Metodo!$B$39:$B$41,0)),0))</f>
        <v/>
      </c>
      <c r="M180" s="25">
        <f>IF($L180="","",IF($L180&gt;=Metodo!$C$43,"A",IF($L180&gt;=Metodo!$C$44,"B","C")))</f>
        <v/>
      </c>
      <c r="N180" s="27" t="n"/>
      <c r="O180" s="37" t="n"/>
      <c r="P180" s="28" t="n"/>
      <c r="Q180" s="27" t="n"/>
      <c r="R180" s="37" t="n"/>
      <c r="S180" s="27" t="n"/>
      <c r="T180" s="27" t="n"/>
    </row>
    <row r="181">
      <c r="A181" s="25">
        <f>IF($B181="","",ROW()-1)</f>
        <v/>
      </c>
      <c r="B181" s="11" t="n"/>
      <c r="C181" s="11" t="n"/>
      <c r="D181" s="11" t="n"/>
      <c r="E181" s="11" t="n"/>
      <c r="F181" s="31" t="n"/>
      <c r="G181" s="11" t="n"/>
      <c r="H181" s="11" t="n"/>
      <c r="I181" s="11" t="n"/>
      <c r="J181" s="11" t="n"/>
      <c r="K181" s="11" t="n"/>
      <c r="L181" s="25">
        <f>IF($B181="","",IF($F181="",Metodo!$C$30,IF(AND($F181&gt;=80,$F181&lt;=250),Metodo!$C$28,IF(OR(AND($F181&gt;=40,$F181&lt;=79),AND($F181&gt;=251,$F181&lt;=400)),Metodo!$C$29,Metodo!$C$30)))+IFERROR(INDEX(Metodo!$C$32:$C$35,MATCH($G181,Metodo!$B$32:$B$35,0)),0)+COUNTIF($H181:$J181,"Sim")*Metodo!$C$37+IFERROR(INDEX(Metodo!$C$39:$C$41,MATCH($K181,Metodo!$B$39:$B$41,0)),0))</f>
        <v/>
      </c>
      <c r="M181" s="25">
        <f>IF($L181="","",IF($L181&gt;=Metodo!$C$43,"A",IF($L181&gt;=Metodo!$C$44,"B","C")))</f>
        <v/>
      </c>
      <c r="N181" s="11" t="n"/>
      <c r="O181" s="38" t="n"/>
      <c r="P181" s="31" t="n"/>
      <c r="Q181" s="11" t="n"/>
      <c r="R181" s="38" t="n"/>
      <c r="S181" s="11" t="n"/>
      <c r="T181" s="11" t="n"/>
    </row>
    <row r="182">
      <c r="A182" s="25">
        <f>IF($B182="","",ROW()-1)</f>
        <v/>
      </c>
      <c r="B182" s="27" t="n"/>
      <c r="C182" s="27" t="n"/>
      <c r="D182" s="27" t="n"/>
      <c r="E182" s="27" t="n"/>
      <c r="F182" s="28" t="n"/>
      <c r="G182" s="27" t="n"/>
      <c r="H182" s="27" t="n"/>
      <c r="I182" s="27" t="n"/>
      <c r="J182" s="27" t="n"/>
      <c r="K182" s="27" t="n"/>
      <c r="L182" s="25">
        <f>IF($B182="","",IF($F182="",Metodo!$C$30,IF(AND($F182&gt;=80,$F182&lt;=250),Metodo!$C$28,IF(OR(AND($F182&gt;=40,$F182&lt;=79),AND($F182&gt;=251,$F182&lt;=400)),Metodo!$C$29,Metodo!$C$30)))+IFERROR(INDEX(Metodo!$C$32:$C$35,MATCH($G182,Metodo!$B$32:$B$35,0)),0)+COUNTIF($H182:$J182,"Sim")*Metodo!$C$37+IFERROR(INDEX(Metodo!$C$39:$C$41,MATCH($K182,Metodo!$B$39:$B$41,0)),0))</f>
        <v/>
      </c>
      <c r="M182" s="25">
        <f>IF($L182="","",IF($L182&gt;=Metodo!$C$43,"A",IF($L182&gt;=Metodo!$C$44,"B","C")))</f>
        <v/>
      </c>
      <c r="N182" s="27" t="n"/>
      <c r="O182" s="37" t="n"/>
      <c r="P182" s="28" t="n"/>
      <c r="Q182" s="27" t="n"/>
      <c r="R182" s="37" t="n"/>
      <c r="S182" s="27" t="n"/>
      <c r="T182" s="27" t="n"/>
    </row>
    <row r="183">
      <c r="A183" s="25">
        <f>IF($B183="","",ROW()-1)</f>
        <v/>
      </c>
      <c r="B183" s="11" t="n"/>
      <c r="C183" s="11" t="n"/>
      <c r="D183" s="11" t="n"/>
      <c r="E183" s="11" t="n"/>
      <c r="F183" s="31" t="n"/>
      <c r="G183" s="11" t="n"/>
      <c r="H183" s="11" t="n"/>
      <c r="I183" s="11" t="n"/>
      <c r="J183" s="11" t="n"/>
      <c r="K183" s="11" t="n"/>
      <c r="L183" s="25">
        <f>IF($B183="","",IF($F183="",Metodo!$C$30,IF(AND($F183&gt;=80,$F183&lt;=250),Metodo!$C$28,IF(OR(AND($F183&gt;=40,$F183&lt;=79),AND($F183&gt;=251,$F183&lt;=400)),Metodo!$C$29,Metodo!$C$30)))+IFERROR(INDEX(Metodo!$C$32:$C$35,MATCH($G183,Metodo!$B$32:$B$35,0)),0)+COUNTIF($H183:$J183,"Sim")*Metodo!$C$37+IFERROR(INDEX(Metodo!$C$39:$C$41,MATCH($K183,Metodo!$B$39:$B$41,0)),0))</f>
        <v/>
      </c>
      <c r="M183" s="25">
        <f>IF($L183="","",IF($L183&gt;=Metodo!$C$43,"A",IF($L183&gt;=Metodo!$C$44,"B","C")))</f>
        <v/>
      </c>
      <c r="N183" s="11" t="n"/>
      <c r="O183" s="38" t="n"/>
      <c r="P183" s="31" t="n"/>
      <c r="Q183" s="11" t="n"/>
      <c r="R183" s="38" t="n"/>
      <c r="S183" s="11" t="n"/>
      <c r="T183" s="11" t="n"/>
    </row>
    <row r="184">
      <c r="A184" s="25">
        <f>IF($B184="","",ROW()-1)</f>
        <v/>
      </c>
      <c r="B184" s="27" t="n"/>
      <c r="C184" s="27" t="n"/>
      <c r="D184" s="27" t="n"/>
      <c r="E184" s="27" t="n"/>
      <c r="F184" s="28" t="n"/>
      <c r="G184" s="27" t="n"/>
      <c r="H184" s="27" t="n"/>
      <c r="I184" s="27" t="n"/>
      <c r="J184" s="27" t="n"/>
      <c r="K184" s="27" t="n"/>
      <c r="L184" s="25">
        <f>IF($B184="","",IF($F184="",Metodo!$C$30,IF(AND($F184&gt;=80,$F184&lt;=250),Metodo!$C$28,IF(OR(AND($F184&gt;=40,$F184&lt;=79),AND($F184&gt;=251,$F184&lt;=400)),Metodo!$C$29,Metodo!$C$30)))+IFERROR(INDEX(Metodo!$C$32:$C$35,MATCH($G184,Metodo!$B$32:$B$35,0)),0)+COUNTIF($H184:$J184,"Sim")*Metodo!$C$37+IFERROR(INDEX(Metodo!$C$39:$C$41,MATCH($K184,Metodo!$B$39:$B$41,0)),0))</f>
        <v/>
      </c>
      <c r="M184" s="25">
        <f>IF($L184="","",IF($L184&gt;=Metodo!$C$43,"A",IF($L184&gt;=Metodo!$C$44,"B","C")))</f>
        <v/>
      </c>
      <c r="N184" s="27" t="n"/>
      <c r="O184" s="37" t="n"/>
      <c r="P184" s="28" t="n"/>
      <c r="Q184" s="27" t="n"/>
      <c r="R184" s="37" t="n"/>
      <c r="S184" s="27" t="n"/>
      <c r="T184" s="27" t="n"/>
    </row>
    <row r="185">
      <c r="A185" s="25">
        <f>IF($B185="","",ROW()-1)</f>
        <v/>
      </c>
      <c r="B185" s="11" t="n"/>
      <c r="C185" s="11" t="n"/>
      <c r="D185" s="11" t="n"/>
      <c r="E185" s="11" t="n"/>
      <c r="F185" s="31" t="n"/>
      <c r="G185" s="11" t="n"/>
      <c r="H185" s="11" t="n"/>
      <c r="I185" s="11" t="n"/>
      <c r="J185" s="11" t="n"/>
      <c r="K185" s="11" t="n"/>
      <c r="L185" s="25">
        <f>IF($B185="","",IF($F185="",Metodo!$C$30,IF(AND($F185&gt;=80,$F185&lt;=250),Metodo!$C$28,IF(OR(AND($F185&gt;=40,$F185&lt;=79),AND($F185&gt;=251,$F185&lt;=400)),Metodo!$C$29,Metodo!$C$30)))+IFERROR(INDEX(Metodo!$C$32:$C$35,MATCH($G185,Metodo!$B$32:$B$35,0)),0)+COUNTIF($H185:$J185,"Sim")*Metodo!$C$37+IFERROR(INDEX(Metodo!$C$39:$C$41,MATCH($K185,Metodo!$B$39:$B$41,0)),0))</f>
        <v/>
      </c>
      <c r="M185" s="25">
        <f>IF($L185="","",IF($L185&gt;=Metodo!$C$43,"A",IF($L185&gt;=Metodo!$C$44,"B","C")))</f>
        <v/>
      </c>
      <c r="N185" s="11" t="n"/>
      <c r="O185" s="38" t="n"/>
      <c r="P185" s="31" t="n"/>
      <c r="Q185" s="11" t="n"/>
      <c r="R185" s="38" t="n"/>
      <c r="S185" s="11" t="n"/>
      <c r="T185" s="11" t="n"/>
    </row>
    <row r="186">
      <c r="A186" s="25">
        <f>IF($B186="","",ROW()-1)</f>
        <v/>
      </c>
      <c r="B186" s="27" t="n"/>
      <c r="C186" s="27" t="n"/>
      <c r="D186" s="27" t="n"/>
      <c r="E186" s="27" t="n"/>
      <c r="F186" s="28" t="n"/>
      <c r="G186" s="27" t="n"/>
      <c r="H186" s="27" t="n"/>
      <c r="I186" s="27" t="n"/>
      <c r="J186" s="27" t="n"/>
      <c r="K186" s="27" t="n"/>
      <c r="L186" s="25">
        <f>IF($B186="","",IF($F186="",Metodo!$C$30,IF(AND($F186&gt;=80,$F186&lt;=250),Metodo!$C$28,IF(OR(AND($F186&gt;=40,$F186&lt;=79),AND($F186&gt;=251,$F186&lt;=400)),Metodo!$C$29,Metodo!$C$30)))+IFERROR(INDEX(Metodo!$C$32:$C$35,MATCH($G186,Metodo!$B$32:$B$35,0)),0)+COUNTIF($H186:$J186,"Sim")*Metodo!$C$37+IFERROR(INDEX(Metodo!$C$39:$C$41,MATCH($K186,Metodo!$B$39:$B$41,0)),0))</f>
        <v/>
      </c>
      <c r="M186" s="25">
        <f>IF($L186="","",IF($L186&gt;=Metodo!$C$43,"A",IF($L186&gt;=Metodo!$C$44,"B","C")))</f>
        <v/>
      </c>
      <c r="N186" s="27" t="n"/>
      <c r="O186" s="37" t="n"/>
      <c r="P186" s="28" t="n"/>
      <c r="Q186" s="27" t="n"/>
      <c r="R186" s="37" t="n"/>
      <c r="S186" s="27" t="n"/>
      <c r="T186" s="27" t="n"/>
    </row>
    <row r="187">
      <c r="A187" s="25">
        <f>IF($B187="","",ROW()-1)</f>
        <v/>
      </c>
      <c r="B187" s="11" t="n"/>
      <c r="C187" s="11" t="n"/>
      <c r="D187" s="11" t="n"/>
      <c r="E187" s="11" t="n"/>
      <c r="F187" s="31" t="n"/>
      <c r="G187" s="11" t="n"/>
      <c r="H187" s="11" t="n"/>
      <c r="I187" s="11" t="n"/>
      <c r="J187" s="11" t="n"/>
      <c r="K187" s="11" t="n"/>
      <c r="L187" s="25">
        <f>IF($B187="","",IF($F187="",Metodo!$C$30,IF(AND($F187&gt;=80,$F187&lt;=250),Metodo!$C$28,IF(OR(AND($F187&gt;=40,$F187&lt;=79),AND($F187&gt;=251,$F187&lt;=400)),Metodo!$C$29,Metodo!$C$30)))+IFERROR(INDEX(Metodo!$C$32:$C$35,MATCH($G187,Metodo!$B$32:$B$35,0)),0)+COUNTIF($H187:$J187,"Sim")*Metodo!$C$37+IFERROR(INDEX(Metodo!$C$39:$C$41,MATCH($K187,Metodo!$B$39:$B$41,0)),0))</f>
        <v/>
      </c>
      <c r="M187" s="25">
        <f>IF($L187="","",IF($L187&gt;=Metodo!$C$43,"A",IF($L187&gt;=Metodo!$C$44,"B","C")))</f>
        <v/>
      </c>
      <c r="N187" s="11" t="n"/>
      <c r="O187" s="38" t="n"/>
      <c r="P187" s="31" t="n"/>
      <c r="Q187" s="11" t="n"/>
      <c r="R187" s="38" t="n"/>
      <c r="S187" s="11" t="n"/>
      <c r="T187" s="11" t="n"/>
    </row>
    <row r="188">
      <c r="A188" s="25">
        <f>IF($B188="","",ROW()-1)</f>
        <v/>
      </c>
      <c r="B188" s="27" t="n"/>
      <c r="C188" s="27" t="n"/>
      <c r="D188" s="27" t="n"/>
      <c r="E188" s="27" t="n"/>
      <c r="F188" s="28" t="n"/>
      <c r="G188" s="27" t="n"/>
      <c r="H188" s="27" t="n"/>
      <c r="I188" s="27" t="n"/>
      <c r="J188" s="27" t="n"/>
      <c r="K188" s="27" t="n"/>
      <c r="L188" s="25">
        <f>IF($B188="","",IF($F188="",Metodo!$C$30,IF(AND($F188&gt;=80,$F188&lt;=250),Metodo!$C$28,IF(OR(AND($F188&gt;=40,$F188&lt;=79),AND($F188&gt;=251,$F188&lt;=400)),Metodo!$C$29,Metodo!$C$30)))+IFERROR(INDEX(Metodo!$C$32:$C$35,MATCH($G188,Metodo!$B$32:$B$35,0)),0)+COUNTIF($H188:$J188,"Sim")*Metodo!$C$37+IFERROR(INDEX(Metodo!$C$39:$C$41,MATCH($K188,Metodo!$B$39:$B$41,0)),0))</f>
        <v/>
      </c>
      <c r="M188" s="25">
        <f>IF($L188="","",IF($L188&gt;=Metodo!$C$43,"A",IF($L188&gt;=Metodo!$C$44,"B","C")))</f>
        <v/>
      </c>
      <c r="N188" s="27" t="n"/>
      <c r="O188" s="37" t="n"/>
      <c r="P188" s="28" t="n"/>
      <c r="Q188" s="27" t="n"/>
      <c r="R188" s="37" t="n"/>
      <c r="S188" s="27" t="n"/>
      <c r="T188" s="27" t="n"/>
    </row>
    <row r="189">
      <c r="A189" s="25">
        <f>IF($B189="","",ROW()-1)</f>
        <v/>
      </c>
      <c r="B189" s="11" t="n"/>
      <c r="C189" s="11" t="n"/>
      <c r="D189" s="11" t="n"/>
      <c r="E189" s="11" t="n"/>
      <c r="F189" s="31" t="n"/>
      <c r="G189" s="11" t="n"/>
      <c r="H189" s="11" t="n"/>
      <c r="I189" s="11" t="n"/>
      <c r="J189" s="11" t="n"/>
      <c r="K189" s="11" t="n"/>
      <c r="L189" s="25">
        <f>IF($B189="","",IF($F189="",Metodo!$C$30,IF(AND($F189&gt;=80,$F189&lt;=250),Metodo!$C$28,IF(OR(AND($F189&gt;=40,$F189&lt;=79),AND($F189&gt;=251,$F189&lt;=400)),Metodo!$C$29,Metodo!$C$30)))+IFERROR(INDEX(Metodo!$C$32:$C$35,MATCH($G189,Metodo!$B$32:$B$35,0)),0)+COUNTIF($H189:$J189,"Sim")*Metodo!$C$37+IFERROR(INDEX(Metodo!$C$39:$C$41,MATCH($K189,Metodo!$B$39:$B$41,0)),0))</f>
        <v/>
      </c>
      <c r="M189" s="25">
        <f>IF($L189="","",IF($L189&gt;=Metodo!$C$43,"A",IF($L189&gt;=Metodo!$C$44,"B","C")))</f>
        <v/>
      </c>
      <c r="N189" s="11" t="n"/>
      <c r="O189" s="38" t="n"/>
      <c r="P189" s="31" t="n"/>
      <c r="Q189" s="11" t="n"/>
      <c r="R189" s="38" t="n"/>
      <c r="S189" s="11" t="n"/>
      <c r="T189" s="11" t="n"/>
    </row>
    <row r="190">
      <c r="A190" s="25">
        <f>IF($B190="","",ROW()-1)</f>
        <v/>
      </c>
      <c r="B190" s="27" t="n"/>
      <c r="C190" s="27" t="n"/>
      <c r="D190" s="27" t="n"/>
      <c r="E190" s="27" t="n"/>
      <c r="F190" s="28" t="n"/>
      <c r="G190" s="27" t="n"/>
      <c r="H190" s="27" t="n"/>
      <c r="I190" s="27" t="n"/>
      <c r="J190" s="27" t="n"/>
      <c r="K190" s="27" t="n"/>
      <c r="L190" s="25">
        <f>IF($B190="","",IF($F190="",Metodo!$C$30,IF(AND($F190&gt;=80,$F190&lt;=250),Metodo!$C$28,IF(OR(AND($F190&gt;=40,$F190&lt;=79),AND($F190&gt;=251,$F190&lt;=400)),Metodo!$C$29,Metodo!$C$30)))+IFERROR(INDEX(Metodo!$C$32:$C$35,MATCH($G190,Metodo!$B$32:$B$35,0)),0)+COUNTIF($H190:$J190,"Sim")*Metodo!$C$37+IFERROR(INDEX(Metodo!$C$39:$C$41,MATCH($K190,Metodo!$B$39:$B$41,0)),0))</f>
        <v/>
      </c>
      <c r="M190" s="25">
        <f>IF($L190="","",IF($L190&gt;=Metodo!$C$43,"A",IF($L190&gt;=Metodo!$C$44,"B","C")))</f>
        <v/>
      </c>
      <c r="N190" s="27" t="n"/>
      <c r="O190" s="37" t="n"/>
      <c r="P190" s="28" t="n"/>
      <c r="Q190" s="27" t="n"/>
      <c r="R190" s="37" t="n"/>
      <c r="S190" s="27" t="n"/>
      <c r="T190" s="27" t="n"/>
    </row>
    <row r="191">
      <c r="A191" s="25">
        <f>IF($B191="","",ROW()-1)</f>
        <v/>
      </c>
      <c r="B191" s="11" t="n"/>
      <c r="C191" s="11" t="n"/>
      <c r="D191" s="11" t="n"/>
      <c r="E191" s="11" t="n"/>
      <c r="F191" s="31" t="n"/>
      <c r="G191" s="11" t="n"/>
      <c r="H191" s="11" t="n"/>
      <c r="I191" s="11" t="n"/>
      <c r="J191" s="11" t="n"/>
      <c r="K191" s="11" t="n"/>
      <c r="L191" s="25">
        <f>IF($B191="","",IF($F191="",Metodo!$C$30,IF(AND($F191&gt;=80,$F191&lt;=250),Metodo!$C$28,IF(OR(AND($F191&gt;=40,$F191&lt;=79),AND($F191&gt;=251,$F191&lt;=400)),Metodo!$C$29,Metodo!$C$30)))+IFERROR(INDEX(Metodo!$C$32:$C$35,MATCH($G191,Metodo!$B$32:$B$35,0)),0)+COUNTIF($H191:$J191,"Sim")*Metodo!$C$37+IFERROR(INDEX(Metodo!$C$39:$C$41,MATCH($K191,Metodo!$B$39:$B$41,0)),0))</f>
        <v/>
      </c>
      <c r="M191" s="25">
        <f>IF($L191="","",IF($L191&gt;=Metodo!$C$43,"A",IF($L191&gt;=Metodo!$C$44,"B","C")))</f>
        <v/>
      </c>
      <c r="N191" s="11" t="n"/>
      <c r="O191" s="38" t="n"/>
      <c r="P191" s="31" t="n"/>
      <c r="Q191" s="11" t="n"/>
      <c r="R191" s="38" t="n"/>
      <c r="S191" s="11" t="n"/>
      <c r="T191" s="11" t="n"/>
    </row>
    <row r="192">
      <c r="A192" s="25">
        <f>IF($B192="","",ROW()-1)</f>
        <v/>
      </c>
      <c r="B192" s="27" t="n"/>
      <c r="C192" s="27" t="n"/>
      <c r="D192" s="27" t="n"/>
      <c r="E192" s="27" t="n"/>
      <c r="F192" s="28" t="n"/>
      <c r="G192" s="27" t="n"/>
      <c r="H192" s="27" t="n"/>
      <c r="I192" s="27" t="n"/>
      <c r="J192" s="27" t="n"/>
      <c r="K192" s="27" t="n"/>
      <c r="L192" s="25">
        <f>IF($B192="","",IF($F192="",Metodo!$C$30,IF(AND($F192&gt;=80,$F192&lt;=250),Metodo!$C$28,IF(OR(AND($F192&gt;=40,$F192&lt;=79),AND($F192&gt;=251,$F192&lt;=400)),Metodo!$C$29,Metodo!$C$30)))+IFERROR(INDEX(Metodo!$C$32:$C$35,MATCH($G192,Metodo!$B$32:$B$35,0)),0)+COUNTIF($H192:$J192,"Sim")*Metodo!$C$37+IFERROR(INDEX(Metodo!$C$39:$C$41,MATCH($K192,Metodo!$B$39:$B$41,0)),0))</f>
        <v/>
      </c>
      <c r="M192" s="25">
        <f>IF($L192="","",IF($L192&gt;=Metodo!$C$43,"A",IF($L192&gt;=Metodo!$C$44,"B","C")))</f>
        <v/>
      </c>
      <c r="N192" s="27" t="n"/>
      <c r="O192" s="37" t="n"/>
      <c r="P192" s="28" t="n"/>
      <c r="Q192" s="27" t="n"/>
      <c r="R192" s="37" t="n"/>
      <c r="S192" s="27" t="n"/>
      <c r="T192" s="27" t="n"/>
    </row>
    <row r="193">
      <c r="A193" s="25">
        <f>IF($B193="","",ROW()-1)</f>
        <v/>
      </c>
      <c r="B193" s="11" t="n"/>
      <c r="C193" s="11" t="n"/>
      <c r="D193" s="11" t="n"/>
      <c r="E193" s="11" t="n"/>
      <c r="F193" s="31" t="n"/>
      <c r="G193" s="11" t="n"/>
      <c r="H193" s="11" t="n"/>
      <c r="I193" s="11" t="n"/>
      <c r="J193" s="11" t="n"/>
      <c r="K193" s="11" t="n"/>
      <c r="L193" s="25">
        <f>IF($B193="","",IF($F193="",Metodo!$C$30,IF(AND($F193&gt;=80,$F193&lt;=250),Metodo!$C$28,IF(OR(AND($F193&gt;=40,$F193&lt;=79),AND($F193&gt;=251,$F193&lt;=400)),Metodo!$C$29,Metodo!$C$30)))+IFERROR(INDEX(Metodo!$C$32:$C$35,MATCH($G193,Metodo!$B$32:$B$35,0)),0)+COUNTIF($H193:$J193,"Sim")*Metodo!$C$37+IFERROR(INDEX(Metodo!$C$39:$C$41,MATCH($K193,Metodo!$B$39:$B$41,0)),0))</f>
        <v/>
      </c>
      <c r="M193" s="25">
        <f>IF($L193="","",IF($L193&gt;=Metodo!$C$43,"A",IF($L193&gt;=Metodo!$C$44,"B","C")))</f>
        <v/>
      </c>
      <c r="N193" s="11" t="n"/>
      <c r="O193" s="38" t="n"/>
      <c r="P193" s="31" t="n"/>
      <c r="Q193" s="11" t="n"/>
      <c r="R193" s="38" t="n"/>
      <c r="S193" s="11" t="n"/>
      <c r="T193" s="11" t="n"/>
    </row>
    <row r="194">
      <c r="A194" s="25">
        <f>IF($B194="","",ROW()-1)</f>
        <v/>
      </c>
      <c r="B194" s="27" t="n"/>
      <c r="C194" s="27" t="n"/>
      <c r="D194" s="27" t="n"/>
      <c r="E194" s="27" t="n"/>
      <c r="F194" s="28" t="n"/>
      <c r="G194" s="27" t="n"/>
      <c r="H194" s="27" t="n"/>
      <c r="I194" s="27" t="n"/>
      <c r="J194" s="27" t="n"/>
      <c r="K194" s="27" t="n"/>
      <c r="L194" s="25">
        <f>IF($B194="","",IF($F194="",Metodo!$C$30,IF(AND($F194&gt;=80,$F194&lt;=250),Metodo!$C$28,IF(OR(AND($F194&gt;=40,$F194&lt;=79),AND($F194&gt;=251,$F194&lt;=400)),Metodo!$C$29,Metodo!$C$30)))+IFERROR(INDEX(Metodo!$C$32:$C$35,MATCH($G194,Metodo!$B$32:$B$35,0)),0)+COUNTIF($H194:$J194,"Sim")*Metodo!$C$37+IFERROR(INDEX(Metodo!$C$39:$C$41,MATCH($K194,Metodo!$B$39:$B$41,0)),0))</f>
        <v/>
      </c>
      <c r="M194" s="25">
        <f>IF($L194="","",IF($L194&gt;=Metodo!$C$43,"A",IF($L194&gt;=Metodo!$C$44,"B","C")))</f>
        <v/>
      </c>
      <c r="N194" s="27" t="n"/>
      <c r="O194" s="37" t="n"/>
      <c r="P194" s="28" t="n"/>
      <c r="Q194" s="27" t="n"/>
      <c r="R194" s="37" t="n"/>
      <c r="S194" s="27" t="n"/>
      <c r="T194" s="27" t="n"/>
    </row>
    <row r="195">
      <c r="A195" s="25">
        <f>IF($B195="","",ROW()-1)</f>
        <v/>
      </c>
      <c r="B195" s="11" t="n"/>
      <c r="C195" s="11" t="n"/>
      <c r="D195" s="11" t="n"/>
      <c r="E195" s="11" t="n"/>
      <c r="F195" s="31" t="n"/>
      <c r="G195" s="11" t="n"/>
      <c r="H195" s="11" t="n"/>
      <c r="I195" s="11" t="n"/>
      <c r="J195" s="11" t="n"/>
      <c r="K195" s="11" t="n"/>
      <c r="L195" s="25">
        <f>IF($B195="","",IF($F195="",Metodo!$C$30,IF(AND($F195&gt;=80,$F195&lt;=250),Metodo!$C$28,IF(OR(AND($F195&gt;=40,$F195&lt;=79),AND($F195&gt;=251,$F195&lt;=400)),Metodo!$C$29,Metodo!$C$30)))+IFERROR(INDEX(Metodo!$C$32:$C$35,MATCH($G195,Metodo!$B$32:$B$35,0)),0)+COUNTIF($H195:$J195,"Sim")*Metodo!$C$37+IFERROR(INDEX(Metodo!$C$39:$C$41,MATCH($K195,Metodo!$B$39:$B$41,0)),0))</f>
        <v/>
      </c>
      <c r="M195" s="25">
        <f>IF($L195="","",IF($L195&gt;=Metodo!$C$43,"A",IF($L195&gt;=Metodo!$C$44,"B","C")))</f>
        <v/>
      </c>
      <c r="N195" s="11" t="n"/>
      <c r="O195" s="38" t="n"/>
      <c r="P195" s="31" t="n"/>
      <c r="Q195" s="11" t="n"/>
      <c r="R195" s="38" t="n"/>
      <c r="S195" s="11" t="n"/>
      <c r="T195" s="11" t="n"/>
    </row>
    <row r="196">
      <c r="A196" s="25">
        <f>IF($B196="","",ROW()-1)</f>
        <v/>
      </c>
      <c r="B196" s="27" t="n"/>
      <c r="C196" s="27" t="n"/>
      <c r="D196" s="27" t="n"/>
      <c r="E196" s="27" t="n"/>
      <c r="F196" s="28" t="n"/>
      <c r="G196" s="27" t="n"/>
      <c r="H196" s="27" t="n"/>
      <c r="I196" s="27" t="n"/>
      <c r="J196" s="27" t="n"/>
      <c r="K196" s="27" t="n"/>
      <c r="L196" s="25">
        <f>IF($B196="","",IF($F196="",Metodo!$C$30,IF(AND($F196&gt;=80,$F196&lt;=250),Metodo!$C$28,IF(OR(AND($F196&gt;=40,$F196&lt;=79),AND($F196&gt;=251,$F196&lt;=400)),Metodo!$C$29,Metodo!$C$30)))+IFERROR(INDEX(Metodo!$C$32:$C$35,MATCH($G196,Metodo!$B$32:$B$35,0)),0)+COUNTIF($H196:$J196,"Sim")*Metodo!$C$37+IFERROR(INDEX(Metodo!$C$39:$C$41,MATCH($K196,Metodo!$B$39:$B$41,0)),0))</f>
        <v/>
      </c>
      <c r="M196" s="25">
        <f>IF($L196="","",IF($L196&gt;=Metodo!$C$43,"A",IF($L196&gt;=Metodo!$C$44,"B","C")))</f>
        <v/>
      </c>
      <c r="N196" s="27" t="n"/>
      <c r="O196" s="37" t="n"/>
      <c r="P196" s="28" t="n"/>
      <c r="Q196" s="27" t="n"/>
      <c r="R196" s="37" t="n"/>
      <c r="S196" s="27" t="n"/>
      <c r="T196" s="27" t="n"/>
    </row>
    <row r="197">
      <c r="A197" s="25">
        <f>IF($B197="","",ROW()-1)</f>
        <v/>
      </c>
      <c r="B197" s="11" t="n"/>
      <c r="C197" s="11" t="n"/>
      <c r="D197" s="11" t="n"/>
      <c r="E197" s="11" t="n"/>
      <c r="F197" s="31" t="n"/>
      <c r="G197" s="11" t="n"/>
      <c r="H197" s="11" t="n"/>
      <c r="I197" s="11" t="n"/>
      <c r="J197" s="11" t="n"/>
      <c r="K197" s="11" t="n"/>
      <c r="L197" s="25">
        <f>IF($B197="","",IF($F197="",Metodo!$C$30,IF(AND($F197&gt;=80,$F197&lt;=250),Metodo!$C$28,IF(OR(AND($F197&gt;=40,$F197&lt;=79),AND($F197&gt;=251,$F197&lt;=400)),Metodo!$C$29,Metodo!$C$30)))+IFERROR(INDEX(Metodo!$C$32:$C$35,MATCH($G197,Metodo!$B$32:$B$35,0)),0)+COUNTIF($H197:$J197,"Sim")*Metodo!$C$37+IFERROR(INDEX(Metodo!$C$39:$C$41,MATCH($K197,Metodo!$B$39:$B$41,0)),0))</f>
        <v/>
      </c>
      <c r="M197" s="25">
        <f>IF($L197="","",IF($L197&gt;=Metodo!$C$43,"A",IF($L197&gt;=Metodo!$C$44,"B","C")))</f>
        <v/>
      </c>
      <c r="N197" s="11" t="n"/>
      <c r="O197" s="38" t="n"/>
      <c r="P197" s="31" t="n"/>
      <c r="Q197" s="11" t="n"/>
      <c r="R197" s="38" t="n"/>
      <c r="S197" s="11" t="n"/>
      <c r="T197" s="11" t="n"/>
    </row>
    <row r="198">
      <c r="A198" s="25">
        <f>IF($B198="","",ROW()-1)</f>
        <v/>
      </c>
      <c r="B198" s="27" t="n"/>
      <c r="C198" s="27" t="n"/>
      <c r="D198" s="27" t="n"/>
      <c r="E198" s="27" t="n"/>
      <c r="F198" s="28" t="n"/>
      <c r="G198" s="27" t="n"/>
      <c r="H198" s="27" t="n"/>
      <c r="I198" s="27" t="n"/>
      <c r="J198" s="27" t="n"/>
      <c r="K198" s="27" t="n"/>
      <c r="L198" s="25">
        <f>IF($B198="","",IF($F198="",Metodo!$C$30,IF(AND($F198&gt;=80,$F198&lt;=250),Metodo!$C$28,IF(OR(AND($F198&gt;=40,$F198&lt;=79),AND($F198&gt;=251,$F198&lt;=400)),Metodo!$C$29,Metodo!$C$30)))+IFERROR(INDEX(Metodo!$C$32:$C$35,MATCH($G198,Metodo!$B$32:$B$35,0)),0)+COUNTIF($H198:$J198,"Sim")*Metodo!$C$37+IFERROR(INDEX(Metodo!$C$39:$C$41,MATCH($K198,Metodo!$B$39:$B$41,0)),0))</f>
        <v/>
      </c>
      <c r="M198" s="25">
        <f>IF($L198="","",IF($L198&gt;=Metodo!$C$43,"A",IF($L198&gt;=Metodo!$C$44,"B","C")))</f>
        <v/>
      </c>
      <c r="N198" s="27" t="n"/>
      <c r="O198" s="37" t="n"/>
      <c r="P198" s="28" t="n"/>
      <c r="Q198" s="27" t="n"/>
      <c r="R198" s="37" t="n"/>
      <c r="S198" s="27" t="n"/>
      <c r="T198" s="27" t="n"/>
    </row>
    <row r="199">
      <c r="A199" s="25">
        <f>IF($B199="","",ROW()-1)</f>
        <v/>
      </c>
      <c r="B199" s="11" t="n"/>
      <c r="C199" s="11" t="n"/>
      <c r="D199" s="11" t="n"/>
      <c r="E199" s="11" t="n"/>
      <c r="F199" s="31" t="n"/>
      <c r="G199" s="11" t="n"/>
      <c r="H199" s="11" t="n"/>
      <c r="I199" s="11" t="n"/>
      <c r="J199" s="11" t="n"/>
      <c r="K199" s="11" t="n"/>
      <c r="L199" s="25">
        <f>IF($B199="","",IF($F199="",Metodo!$C$30,IF(AND($F199&gt;=80,$F199&lt;=250),Metodo!$C$28,IF(OR(AND($F199&gt;=40,$F199&lt;=79),AND($F199&gt;=251,$F199&lt;=400)),Metodo!$C$29,Metodo!$C$30)))+IFERROR(INDEX(Metodo!$C$32:$C$35,MATCH($G199,Metodo!$B$32:$B$35,0)),0)+COUNTIF($H199:$J199,"Sim")*Metodo!$C$37+IFERROR(INDEX(Metodo!$C$39:$C$41,MATCH($K199,Metodo!$B$39:$B$41,0)),0))</f>
        <v/>
      </c>
      <c r="M199" s="25">
        <f>IF($L199="","",IF($L199&gt;=Metodo!$C$43,"A",IF($L199&gt;=Metodo!$C$44,"B","C")))</f>
        <v/>
      </c>
      <c r="N199" s="11" t="n"/>
      <c r="O199" s="38" t="n"/>
      <c r="P199" s="31" t="n"/>
      <c r="Q199" s="11" t="n"/>
      <c r="R199" s="38" t="n"/>
      <c r="S199" s="11" t="n"/>
      <c r="T199" s="11" t="n"/>
    </row>
    <row r="200">
      <c r="A200" s="25">
        <f>IF($B200="","",ROW()-1)</f>
        <v/>
      </c>
      <c r="B200" s="27" t="n"/>
      <c r="C200" s="27" t="n"/>
      <c r="D200" s="27" t="n"/>
      <c r="E200" s="27" t="n"/>
      <c r="F200" s="28" t="n"/>
      <c r="G200" s="27" t="n"/>
      <c r="H200" s="27" t="n"/>
      <c r="I200" s="27" t="n"/>
      <c r="J200" s="27" t="n"/>
      <c r="K200" s="27" t="n"/>
      <c r="L200" s="25">
        <f>IF($B200="","",IF($F200="",Metodo!$C$30,IF(AND($F200&gt;=80,$F200&lt;=250),Metodo!$C$28,IF(OR(AND($F200&gt;=40,$F200&lt;=79),AND($F200&gt;=251,$F200&lt;=400)),Metodo!$C$29,Metodo!$C$30)))+IFERROR(INDEX(Metodo!$C$32:$C$35,MATCH($G200,Metodo!$B$32:$B$35,0)),0)+COUNTIF($H200:$J200,"Sim")*Metodo!$C$37+IFERROR(INDEX(Metodo!$C$39:$C$41,MATCH($K200,Metodo!$B$39:$B$41,0)),0))</f>
        <v/>
      </c>
      <c r="M200" s="25">
        <f>IF($L200="","",IF($L200&gt;=Metodo!$C$43,"A",IF($L200&gt;=Metodo!$C$44,"B","C")))</f>
        <v/>
      </c>
      <c r="N200" s="27" t="n"/>
      <c r="O200" s="37" t="n"/>
      <c r="P200" s="28" t="n"/>
      <c r="Q200" s="27" t="n"/>
      <c r="R200" s="37" t="n"/>
      <c r="S200" s="27" t="n"/>
      <c r="T200" s="27" t="n"/>
    </row>
    <row r="201">
      <c r="A201" s="25">
        <f>IF($B201="","",ROW()-1)</f>
        <v/>
      </c>
      <c r="B201" s="11" t="n"/>
      <c r="C201" s="11" t="n"/>
      <c r="D201" s="11" t="n"/>
      <c r="E201" s="11" t="n"/>
      <c r="F201" s="31" t="n"/>
      <c r="G201" s="11" t="n"/>
      <c r="H201" s="11" t="n"/>
      <c r="I201" s="11" t="n"/>
      <c r="J201" s="11" t="n"/>
      <c r="K201" s="11" t="n"/>
      <c r="L201" s="25">
        <f>IF($B201="","",IF($F201="",Metodo!$C$30,IF(AND($F201&gt;=80,$F201&lt;=250),Metodo!$C$28,IF(OR(AND($F201&gt;=40,$F201&lt;=79),AND($F201&gt;=251,$F201&lt;=400)),Metodo!$C$29,Metodo!$C$30)))+IFERROR(INDEX(Metodo!$C$32:$C$35,MATCH($G201,Metodo!$B$32:$B$35,0)),0)+COUNTIF($H201:$J201,"Sim")*Metodo!$C$37+IFERROR(INDEX(Metodo!$C$39:$C$41,MATCH($K201,Metodo!$B$39:$B$41,0)),0))</f>
        <v/>
      </c>
      <c r="M201" s="25">
        <f>IF($L201="","",IF($L201&gt;=Metodo!$C$43,"A",IF($L201&gt;=Metodo!$C$44,"B","C")))</f>
        <v/>
      </c>
      <c r="N201" s="11" t="n"/>
      <c r="O201" s="38" t="n"/>
      <c r="P201" s="31" t="n"/>
      <c r="Q201" s="11" t="n"/>
      <c r="R201" s="38" t="n"/>
      <c r="S201" s="11" t="n"/>
      <c r="T201" s="11" t="n"/>
    </row>
  </sheetData>
  <autoFilter ref="A1:T201"/>
  <conditionalFormatting sqref="M2:M201">
    <cfRule type="cellIs" priority="1" operator="equal" dxfId="0">
      <formula>"A"</formula>
    </cfRule>
  </conditionalFormatting>
  <conditionalFormatting sqref="N2:N201">
    <cfRule type="cellIs" priority="2" operator="equal" dxfId="1">
      <formula>"Ganho"</formula>
    </cfRule>
    <cfRule type="cellIs" priority="3" operator="equal" dxfId="2">
      <formula>"Perdido"</formula>
    </cfRule>
  </conditionalFormatting>
  <dataValidations count="6">
    <dataValidation sqref="G2:G201" showDropDown="0" showInputMessage="0" showErrorMessage="0" allowBlank="1" type="list">
      <formula1>"Planilha ou caderno,Nenhum sistema,Desconhecido,Concorrente"</formula1>
    </dataValidation>
    <dataValidation sqref="H2:H201" showDropDown="0" showInputMessage="0" showErrorMessage="0" allowBlank="1" type="list">
      <formula1>"Sim,Nao"</formula1>
    </dataValidation>
    <dataValidation sqref="I2:I201" showDropDown="0" showInputMessage="0" showErrorMessage="0" allowBlank="1" type="list">
      <formula1>"Sim,Nao"</formula1>
    </dataValidation>
    <dataValidation sqref="J2:J201" showDropDown="0" showInputMessage="0" showErrorMessage="0" allowBlank="1" type="list">
      <formula1>"Sim,Nao"</formula1>
    </dataValidation>
    <dataValidation sqref="K2:K201" showDropDown="0" showInputMessage="0" showErrorMessage="0" allowBlank="1" type="list">
      <formula1>"Grande SP,SP interior,Outro estado"</formula1>
    </dataValidation>
    <dataValidation sqref="N2:N201" showDropDown="0" showInputMessage="0" showErrorMessage="0" allowBlank="1" type="list">
      <formula1>"Nao contatado,Abordado,Conversando,Demo agendada,Demo feita,Proposta enviada,Ganho,Perdido,Descartado"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10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40" customWidth="1" min="4" max="4"/>
    <col width="24" customWidth="1" min="5" max="5"/>
    <col width="40" customWidth="1" min="6" max="6"/>
    <col width="12" customWidth="1" min="7" max="7"/>
    <col width="12" customWidth="1" min="8" max="8"/>
    <col width="3" customWidth="1" min="9" max="9"/>
    <col width="22" customWidth="1" min="10" max="10"/>
    <col width="6" customWidth="1" min="11" max="11"/>
    <col width="9" customWidth="1" min="12" max="12"/>
  </cols>
  <sheetData>
    <row r="2">
      <c r="B2" s="17" t="inlineStr">
        <is>
          <t>Log de objecoes</t>
        </is>
      </c>
    </row>
    <row r="3">
      <c r="B3" s="2" t="inlineStr">
        <is>
          <t>Registre TODA objecao, inclusive a que voce respondeu bem. Este log e o rascunho do playbook da Fase 2 e, mais tarde, o insumo do Growth Engine.</t>
        </is>
      </c>
    </row>
    <row r="5" ht="26" customHeight="1">
      <c r="B5" s="9" t="inlineStr">
        <is>
          <t>Data</t>
        </is>
      </c>
      <c r="C5" s="9" t="inlineStr">
        <is>
          <t>Box</t>
        </is>
      </c>
      <c r="D5" s="9" t="inlineStr">
        <is>
          <t>Objecao (palavras dele)</t>
        </is>
      </c>
      <c r="E5" s="9" t="inlineStr">
        <is>
          <t>Categoria</t>
        </is>
      </c>
      <c r="F5" s="9" t="inlineStr">
        <is>
          <t>Resposta que dei</t>
        </is>
      </c>
      <c r="G5" s="9" t="inlineStr">
        <is>
          <t>Funcionou?</t>
        </is>
      </c>
      <c r="H5" s="9" t="inlineStr">
        <is>
          <t>Virou venda?</t>
        </is>
      </c>
      <c r="J5" s="20" t="inlineStr">
        <is>
          <t>Ranking de objecoes</t>
        </is>
      </c>
    </row>
    <row r="6">
      <c r="B6" s="39" t="n"/>
      <c r="C6" s="27" t="n"/>
      <c r="D6" s="27" t="n"/>
      <c r="E6" s="27" t="n"/>
      <c r="F6" s="27" t="n"/>
      <c r="G6" s="27" t="n"/>
      <c r="H6" s="27" t="n"/>
      <c r="J6" s="9" t="inlineStr">
        <is>
          <t>Categoria</t>
        </is>
      </c>
      <c r="K6" s="10" t="n"/>
      <c r="L6" s="9" t="inlineStr">
        <is>
          <t>Vezes</t>
        </is>
      </c>
    </row>
    <row r="7">
      <c r="B7" s="40" t="n"/>
      <c r="C7" s="11" t="n"/>
      <c r="D7" s="11" t="n"/>
      <c r="E7" s="11" t="n"/>
      <c r="F7" s="11" t="n"/>
      <c r="G7" s="11" t="n"/>
      <c r="H7" s="11" t="n"/>
      <c r="J7" s="11" t="inlineStr">
        <is>
          <t>Preco</t>
        </is>
      </c>
      <c r="K7" s="10" t="n"/>
      <c r="L7" s="12">
        <f>COUNTIF($E$6:$E$105,"Preco")</f>
        <v/>
      </c>
    </row>
    <row r="8">
      <c r="B8" s="39" t="n"/>
      <c r="C8" s="27" t="n"/>
      <c r="D8" s="27" t="n"/>
      <c r="E8" s="27" t="n"/>
      <c r="F8" s="27" t="n"/>
      <c r="G8" s="27" t="n"/>
      <c r="H8" s="27" t="n"/>
      <c r="J8" s="11" t="inlineStr">
        <is>
          <t>PIX / recorrencia</t>
        </is>
      </c>
      <c r="K8" s="10" t="n"/>
      <c r="L8" s="12">
        <f>COUNTIF($E$6:$E$105,"PIX / recorrencia")</f>
        <v/>
      </c>
    </row>
    <row r="9">
      <c r="B9" s="40" t="n"/>
      <c r="C9" s="11" t="n"/>
      <c r="D9" s="11" t="n"/>
      <c r="E9" s="11" t="n"/>
      <c r="F9" s="11" t="n"/>
      <c r="G9" s="11" t="n"/>
      <c r="H9" s="11" t="n"/>
      <c r="J9" s="11" t="inlineStr">
        <is>
          <t>Ja uso concorrente</t>
        </is>
      </c>
      <c r="K9" s="10" t="n"/>
      <c r="L9" s="12">
        <f>COUNTIF($E$6:$E$105,"Ja uso concorrente")</f>
        <v/>
      </c>
    </row>
    <row r="10">
      <c r="B10" s="39" t="n"/>
      <c r="C10" s="27" t="n"/>
      <c r="D10" s="27" t="n"/>
      <c r="E10" s="27" t="n"/>
      <c r="F10" s="27" t="n"/>
      <c r="G10" s="27" t="n"/>
      <c r="H10" s="27" t="n"/>
      <c r="J10" s="11" t="inlineStr">
        <is>
          <t>Agora nao / sem tempo</t>
        </is>
      </c>
      <c r="K10" s="10" t="n"/>
      <c r="L10" s="12">
        <f>COUNTIF($E$6:$E$105,"Agora nao / sem tempo")</f>
        <v/>
      </c>
    </row>
    <row r="11">
      <c r="B11" s="40" t="n"/>
      <c r="C11" s="11" t="n"/>
      <c r="D11" s="11" t="n"/>
      <c r="E11" s="11" t="n"/>
      <c r="F11" s="11" t="n"/>
      <c r="G11" s="11" t="n"/>
      <c r="H11" s="11" t="n"/>
      <c r="J11" s="11" t="inlineStr">
        <is>
          <t>Confianca (fundador solo)</t>
        </is>
      </c>
      <c r="K11" s="10" t="n"/>
      <c r="L11" s="12">
        <f>COUNTIF($E$6:$E$105,"Confianca (fundador solo)")</f>
        <v/>
      </c>
    </row>
    <row r="12">
      <c r="B12" s="39" t="n"/>
      <c r="C12" s="27" t="n"/>
      <c r="D12" s="27" t="n"/>
      <c r="E12" s="27" t="n"/>
      <c r="F12" s="27" t="n"/>
      <c r="G12" s="27" t="n"/>
      <c r="H12" s="27" t="n"/>
      <c r="J12" s="11" t="inlineStr">
        <is>
          <t>Falta feature</t>
        </is>
      </c>
      <c r="K12" s="10" t="n"/>
      <c r="L12" s="12">
        <f>COUNTIF($E$6:$E$105,"Falta feature")</f>
        <v/>
      </c>
    </row>
    <row r="13">
      <c r="B13" s="40" t="n"/>
      <c r="C13" s="11" t="n"/>
      <c r="D13" s="11" t="n"/>
      <c r="E13" s="11" t="n"/>
      <c r="F13" s="11" t="n"/>
      <c r="G13" s="11" t="n"/>
      <c r="H13" s="11" t="n"/>
      <c r="J13" s="11" t="inlineStr">
        <is>
          <t>Precisa falar com socio</t>
        </is>
      </c>
      <c r="K13" s="10" t="n"/>
      <c r="L13" s="12">
        <f>COUNTIF($E$6:$E$105,"Precisa falar com socio")</f>
        <v/>
      </c>
    </row>
    <row r="14">
      <c r="B14" s="39" t="n"/>
      <c r="C14" s="27" t="n"/>
      <c r="D14" s="27" t="n"/>
      <c r="E14" s="27" t="n"/>
      <c r="F14" s="27" t="n"/>
      <c r="G14" s="27" t="n"/>
      <c r="H14" s="27" t="n"/>
      <c r="J14" s="11" t="inlineStr">
        <is>
          <t>Outro</t>
        </is>
      </c>
      <c r="K14" s="10" t="n"/>
      <c r="L14" s="12">
        <f>COUNTIF($E$6:$E$105,"Outro")</f>
        <v/>
      </c>
    </row>
    <row r="15">
      <c r="B15" s="40" t="n"/>
      <c r="C15" s="11" t="n"/>
      <c r="D15" s="11" t="n"/>
      <c r="E15" s="11" t="n"/>
      <c r="F15" s="11" t="n"/>
      <c r="G15" s="11" t="n"/>
      <c r="H15" s="11" t="n"/>
    </row>
    <row r="16">
      <c r="B16" s="39" t="n"/>
      <c r="C16" s="27" t="n"/>
      <c r="D16" s="27" t="n"/>
      <c r="E16" s="27" t="n"/>
      <c r="F16" s="27" t="n"/>
      <c r="G16" s="27" t="n"/>
      <c r="H16" s="27" t="n"/>
      <c r="J16" s="21" t="inlineStr">
        <is>
          <t>A objecao do topo desta lista e a proxima prioridade de produto.</t>
        </is>
      </c>
    </row>
    <row r="17">
      <c r="B17" s="40" t="n"/>
      <c r="C17" s="11" t="n"/>
      <c r="D17" s="11" t="n"/>
      <c r="E17" s="11" t="n"/>
      <c r="F17" s="11" t="n"/>
      <c r="G17" s="11" t="n"/>
      <c r="H17" s="11" t="n"/>
    </row>
    <row r="18">
      <c r="B18" s="39" t="n"/>
      <c r="C18" s="27" t="n"/>
      <c r="D18" s="27" t="n"/>
      <c r="E18" s="27" t="n"/>
      <c r="F18" s="27" t="n"/>
      <c r="G18" s="27" t="n"/>
      <c r="H18" s="27" t="n"/>
    </row>
    <row r="19">
      <c r="B19" s="40" t="n"/>
      <c r="C19" s="11" t="n"/>
      <c r="D19" s="11" t="n"/>
      <c r="E19" s="11" t="n"/>
      <c r="F19" s="11" t="n"/>
      <c r="G19" s="11" t="n"/>
      <c r="H19" s="11" t="n"/>
    </row>
    <row r="20">
      <c r="B20" s="39" t="n"/>
      <c r="C20" s="27" t="n"/>
      <c r="D20" s="27" t="n"/>
      <c r="E20" s="27" t="n"/>
      <c r="F20" s="27" t="n"/>
      <c r="G20" s="27" t="n"/>
      <c r="H20" s="27" t="n"/>
    </row>
    <row r="21">
      <c r="B21" s="40" t="n"/>
      <c r="C21" s="11" t="n"/>
      <c r="D21" s="11" t="n"/>
      <c r="E21" s="11" t="n"/>
      <c r="F21" s="11" t="n"/>
      <c r="G21" s="11" t="n"/>
      <c r="H21" s="11" t="n"/>
    </row>
    <row r="22">
      <c r="B22" s="39" t="n"/>
      <c r="C22" s="27" t="n"/>
      <c r="D22" s="27" t="n"/>
      <c r="E22" s="27" t="n"/>
      <c r="F22" s="27" t="n"/>
      <c r="G22" s="27" t="n"/>
      <c r="H22" s="27" t="n"/>
    </row>
    <row r="23">
      <c r="B23" s="40" t="n"/>
      <c r="C23" s="11" t="n"/>
      <c r="D23" s="11" t="n"/>
      <c r="E23" s="11" t="n"/>
      <c r="F23" s="11" t="n"/>
      <c r="G23" s="11" t="n"/>
      <c r="H23" s="11" t="n"/>
    </row>
    <row r="24">
      <c r="B24" s="39" t="n"/>
      <c r="C24" s="27" t="n"/>
      <c r="D24" s="27" t="n"/>
      <c r="E24" s="27" t="n"/>
      <c r="F24" s="27" t="n"/>
      <c r="G24" s="27" t="n"/>
      <c r="H24" s="27" t="n"/>
    </row>
    <row r="25">
      <c r="B25" s="40" t="n"/>
      <c r="C25" s="11" t="n"/>
      <c r="D25" s="11" t="n"/>
      <c r="E25" s="11" t="n"/>
      <c r="F25" s="11" t="n"/>
      <c r="G25" s="11" t="n"/>
      <c r="H25" s="11" t="n"/>
    </row>
    <row r="26">
      <c r="B26" s="39" t="n"/>
      <c r="C26" s="27" t="n"/>
      <c r="D26" s="27" t="n"/>
      <c r="E26" s="27" t="n"/>
      <c r="F26" s="27" t="n"/>
      <c r="G26" s="27" t="n"/>
      <c r="H26" s="27" t="n"/>
    </row>
    <row r="27">
      <c r="B27" s="40" t="n"/>
      <c r="C27" s="11" t="n"/>
      <c r="D27" s="11" t="n"/>
      <c r="E27" s="11" t="n"/>
      <c r="F27" s="11" t="n"/>
      <c r="G27" s="11" t="n"/>
      <c r="H27" s="11" t="n"/>
    </row>
    <row r="28">
      <c r="B28" s="39" t="n"/>
      <c r="C28" s="27" t="n"/>
      <c r="D28" s="27" t="n"/>
      <c r="E28" s="27" t="n"/>
      <c r="F28" s="27" t="n"/>
      <c r="G28" s="27" t="n"/>
      <c r="H28" s="27" t="n"/>
    </row>
    <row r="29">
      <c r="B29" s="40" t="n"/>
      <c r="C29" s="11" t="n"/>
      <c r="D29" s="11" t="n"/>
      <c r="E29" s="11" t="n"/>
      <c r="F29" s="11" t="n"/>
      <c r="G29" s="11" t="n"/>
      <c r="H29" s="11" t="n"/>
    </row>
    <row r="30">
      <c r="B30" s="39" t="n"/>
      <c r="C30" s="27" t="n"/>
      <c r="D30" s="27" t="n"/>
      <c r="E30" s="27" t="n"/>
      <c r="F30" s="27" t="n"/>
      <c r="G30" s="27" t="n"/>
      <c r="H30" s="27" t="n"/>
    </row>
    <row r="31">
      <c r="B31" s="40" t="n"/>
      <c r="C31" s="11" t="n"/>
      <c r="D31" s="11" t="n"/>
      <c r="E31" s="11" t="n"/>
      <c r="F31" s="11" t="n"/>
      <c r="G31" s="11" t="n"/>
      <c r="H31" s="11" t="n"/>
    </row>
    <row r="32">
      <c r="B32" s="39" t="n"/>
      <c r="C32" s="27" t="n"/>
      <c r="D32" s="27" t="n"/>
      <c r="E32" s="27" t="n"/>
      <c r="F32" s="27" t="n"/>
      <c r="G32" s="27" t="n"/>
      <c r="H32" s="27" t="n"/>
    </row>
    <row r="33">
      <c r="B33" s="40" t="n"/>
      <c r="C33" s="11" t="n"/>
      <c r="D33" s="11" t="n"/>
      <c r="E33" s="11" t="n"/>
      <c r="F33" s="11" t="n"/>
      <c r="G33" s="11" t="n"/>
      <c r="H33" s="11" t="n"/>
    </row>
    <row r="34">
      <c r="B34" s="39" t="n"/>
      <c r="C34" s="27" t="n"/>
      <c r="D34" s="27" t="n"/>
      <c r="E34" s="27" t="n"/>
      <c r="F34" s="27" t="n"/>
      <c r="G34" s="27" t="n"/>
      <c r="H34" s="27" t="n"/>
    </row>
    <row r="35">
      <c r="B35" s="40" t="n"/>
      <c r="C35" s="11" t="n"/>
      <c r="D35" s="11" t="n"/>
      <c r="E35" s="11" t="n"/>
      <c r="F35" s="11" t="n"/>
      <c r="G35" s="11" t="n"/>
      <c r="H35" s="11" t="n"/>
    </row>
    <row r="36">
      <c r="B36" s="39" t="n"/>
      <c r="C36" s="27" t="n"/>
      <c r="D36" s="27" t="n"/>
      <c r="E36" s="27" t="n"/>
      <c r="F36" s="27" t="n"/>
      <c r="G36" s="27" t="n"/>
      <c r="H36" s="27" t="n"/>
    </row>
    <row r="37">
      <c r="B37" s="40" t="n"/>
      <c r="C37" s="11" t="n"/>
      <c r="D37" s="11" t="n"/>
      <c r="E37" s="11" t="n"/>
      <c r="F37" s="11" t="n"/>
      <c r="G37" s="11" t="n"/>
      <c r="H37" s="11" t="n"/>
    </row>
    <row r="38">
      <c r="B38" s="39" t="n"/>
      <c r="C38" s="27" t="n"/>
      <c r="D38" s="27" t="n"/>
      <c r="E38" s="27" t="n"/>
      <c r="F38" s="27" t="n"/>
      <c r="G38" s="27" t="n"/>
      <c r="H38" s="27" t="n"/>
    </row>
    <row r="39">
      <c r="B39" s="40" t="n"/>
      <c r="C39" s="11" t="n"/>
      <c r="D39" s="11" t="n"/>
      <c r="E39" s="11" t="n"/>
      <c r="F39" s="11" t="n"/>
      <c r="G39" s="11" t="n"/>
      <c r="H39" s="11" t="n"/>
    </row>
    <row r="40">
      <c r="B40" s="39" t="n"/>
      <c r="C40" s="27" t="n"/>
      <c r="D40" s="27" t="n"/>
      <c r="E40" s="27" t="n"/>
      <c r="F40" s="27" t="n"/>
      <c r="G40" s="27" t="n"/>
      <c r="H40" s="27" t="n"/>
    </row>
    <row r="41">
      <c r="B41" s="40" t="n"/>
      <c r="C41" s="11" t="n"/>
      <c r="D41" s="11" t="n"/>
      <c r="E41" s="11" t="n"/>
      <c r="F41" s="11" t="n"/>
      <c r="G41" s="11" t="n"/>
      <c r="H41" s="11" t="n"/>
    </row>
    <row r="42">
      <c r="B42" s="39" t="n"/>
      <c r="C42" s="27" t="n"/>
      <c r="D42" s="27" t="n"/>
      <c r="E42" s="27" t="n"/>
      <c r="F42" s="27" t="n"/>
      <c r="G42" s="27" t="n"/>
      <c r="H42" s="27" t="n"/>
    </row>
    <row r="43">
      <c r="B43" s="40" t="n"/>
      <c r="C43" s="11" t="n"/>
      <c r="D43" s="11" t="n"/>
      <c r="E43" s="11" t="n"/>
      <c r="F43" s="11" t="n"/>
      <c r="G43" s="11" t="n"/>
      <c r="H43" s="11" t="n"/>
    </row>
    <row r="44">
      <c r="B44" s="39" t="n"/>
      <c r="C44" s="27" t="n"/>
      <c r="D44" s="27" t="n"/>
      <c r="E44" s="27" t="n"/>
      <c r="F44" s="27" t="n"/>
      <c r="G44" s="27" t="n"/>
      <c r="H44" s="27" t="n"/>
    </row>
    <row r="45">
      <c r="B45" s="40" t="n"/>
      <c r="C45" s="11" t="n"/>
      <c r="D45" s="11" t="n"/>
      <c r="E45" s="11" t="n"/>
      <c r="F45" s="11" t="n"/>
      <c r="G45" s="11" t="n"/>
      <c r="H45" s="11" t="n"/>
    </row>
    <row r="46">
      <c r="B46" s="39" t="n"/>
      <c r="C46" s="27" t="n"/>
      <c r="D46" s="27" t="n"/>
      <c r="E46" s="27" t="n"/>
      <c r="F46" s="27" t="n"/>
      <c r="G46" s="27" t="n"/>
      <c r="H46" s="27" t="n"/>
    </row>
    <row r="47">
      <c r="B47" s="40" t="n"/>
      <c r="C47" s="11" t="n"/>
      <c r="D47" s="11" t="n"/>
      <c r="E47" s="11" t="n"/>
      <c r="F47" s="11" t="n"/>
      <c r="G47" s="11" t="n"/>
      <c r="H47" s="11" t="n"/>
    </row>
    <row r="48">
      <c r="B48" s="39" t="n"/>
      <c r="C48" s="27" t="n"/>
      <c r="D48" s="27" t="n"/>
      <c r="E48" s="27" t="n"/>
      <c r="F48" s="27" t="n"/>
      <c r="G48" s="27" t="n"/>
      <c r="H48" s="27" t="n"/>
    </row>
    <row r="49">
      <c r="B49" s="40" t="n"/>
      <c r="C49" s="11" t="n"/>
      <c r="D49" s="11" t="n"/>
      <c r="E49" s="11" t="n"/>
      <c r="F49" s="11" t="n"/>
      <c r="G49" s="11" t="n"/>
      <c r="H49" s="11" t="n"/>
    </row>
    <row r="50">
      <c r="B50" s="39" t="n"/>
      <c r="C50" s="27" t="n"/>
      <c r="D50" s="27" t="n"/>
      <c r="E50" s="27" t="n"/>
      <c r="F50" s="27" t="n"/>
      <c r="G50" s="27" t="n"/>
      <c r="H50" s="27" t="n"/>
    </row>
    <row r="51">
      <c r="B51" s="40" t="n"/>
      <c r="C51" s="11" t="n"/>
      <c r="D51" s="11" t="n"/>
      <c r="E51" s="11" t="n"/>
      <c r="F51" s="11" t="n"/>
      <c r="G51" s="11" t="n"/>
      <c r="H51" s="11" t="n"/>
    </row>
    <row r="52">
      <c r="B52" s="39" t="n"/>
      <c r="C52" s="27" t="n"/>
      <c r="D52" s="27" t="n"/>
      <c r="E52" s="27" t="n"/>
      <c r="F52" s="27" t="n"/>
      <c r="G52" s="27" t="n"/>
      <c r="H52" s="27" t="n"/>
    </row>
    <row r="53">
      <c r="B53" s="40" t="n"/>
      <c r="C53" s="11" t="n"/>
      <c r="D53" s="11" t="n"/>
      <c r="E53" s="11" t="n"/>
      <c r="F53" s="11" t="n"/>
      <c r="G53" s="11" t="n"/>
      <c r="H53" s="11" t="n"/>
    </row>
    <row r="54">
      <c r="B54" s="39" t="n"/>
      <c r="C54" s="27" t="n"/>
      <c r="D54" s="27" t="n"/>
      <c r="E54" s="27" t="n"/>
      <c r="F54" s="27" t="n"/>
      <c r="G54" s="27" t="n"/>
      <c r="H54" s="27" t="n"/>
    </row>
    <row r="55">
      <c r="B55" s="40" t="n"/>
      <c r="C55" s="11" t="n"/>
      <c r="D55" s="11" t="n"/>
      <c r="E55" s="11" t="n"/>
      <c r="F55" s="11" t="n"/>
      <c r="G55" s="11" t="n"/>
      <c r="H55" s="11" t="n"/>
    </row>
    <row r="56">
      <c r="B56" s="39" t="n"/>
      <c r="C56" s="27" t="n"/>
      <c r="D56" s="27" t="n"/>
      <c r="E56" s="27" t="n"/>
      <c r="F56" s="27" t="n"/>
      <c r="G56" s="27" t="n"/>
      <c r="H56" s="27" t="n"/>
    </row>
    <row r="57">
      <c r="B57" s="40" t="n"/>
      <c r="C57" s="11" t="n"/>
      <c r="D57" s="11" t="n"/>
      <c r="E57" s="11" t="n"/>
      <c r="F57" s="11" t="n"/>
      <c r="G57" s="11" t="n"/>
      <c r="H57" s="11" t="n"/>
    </row>
    <row r="58">
      <c r="B58" s="39" t="n"/>
      <c r="C58" s="27" t="n"/>
      <c r="D58" s="27" t="n"/>
      <c r="E58" s="27" t="n"/>
      <c r="F58" s="27" t="n"/>
      <c r="G58" s="27" t="n"/>
      <c r="H58" s="27" t="n"/>
    </row>
    <row r="59">
      <c r="B59" s="40" t="n"/>
      <c r="C59" s="11" t="n"/>
      <c r="D59" s="11" t="n"/>
      <c r="E59" s="11" t="n"/>
      <c r="F59" s="11" t="n"/>
      <c r="G59" s="11" t="n"/>
      <c r="H59" s="11" t="n"/>
    </row>
    <row r="60">
      <c r="B60" s="39" t="n"/>
      <c r="C60" s="27" t="n"/>
      <c r="D60" s="27" t="n"/>
      <c r="E60" s="27" t="n"/>
      <c r="F60" s="27" t="n"/>
      <c r="G60" s="27" t="n"/>
      <c r="H60" s="27" t="n"/>
    </row>
    <row r="61">
      <c r="B61" s="40" t="n"/>
      <c r="C61" s="11" t="n"/>
      <c r="D61" s="11" t="n"/>
      <c r="E61" s="11" t="n"/>
      <c r="F61" s="11" t="n"/>
      <c r="G61" s="11" t="n"/>
      <c r="H61" s="11" t="n"/>
    </row>
    <row r="62">
      <c r="B62" s="39" t="n"/>
      <c r="C62" s="27" t="n"/>
      <c r="D62" s="27" t="n"/>
      <c r="E62" s="27" t="n"/>
      <c r="F62" s="27" t="n"/>
      <c r="G62" s="27" t="n"/>
      <c r="H62" s="27" t="n"/>
    </row>
    <row r="63">
      <c r="B63" s="40" t="n"/>
      <c r="C63" s="11" t="n"/>
      <c r="D63" s="11" t="n"/>
      <c r="E63" s="11" t="n"/>
      <c r="F63" s="11" t="n"/>
      <c r="G63" s="11" t="n"/>
      <c r="H63" s="11" t="n"/>
    </row>
    <row r="64">
      <c r="B64" s="39" t="n"/>
      <c r="C64" s="27" t="n"/>
      <c r="D64" s="27" t="n"/>
      <c r="E64" s="27" t="n"/>
      <c r="F64" s="27" t="n"/>
      <c r="G64" s="27" t="n"/>
      <c r="H64" s="27" t="n"/>
    </row>
    <row r="65">
      <c r="B65" s="40" t="n"/>
      <c r="C65" s="11" t="n"/>
      <c r="D65" s="11" t="n"/>
      <c r="E65" s="11" t="n"/>
      <c r="F65" s="11" t="n"/>
      <c r="G65" s="11" t="n"/>
      <c r="H65" s="11" t="n"/>
    </row>
    <row r="66">
      <c r="B66" s="39" t="n"/>
      <c r="C66" s="27" t="n"/>
      <c r="D66" s="27" t="n"/>
      <c r="E66" s="27" t="n"/>
      <c r="F66" s="27" t="n"/>
      <c r="G66" s="27" t="n"/>
      <c r="H66" s="27" t="n"/>
    </row>
    <row r="67">
      <c r="B67" s="40" t="n"/>
      <c r="C67" s="11" t="n"/>
      <c r="D67" s="11" t="n"/>
      <c r="E67" s="11" t="n"/>
      <c r="F67" s="11" t="n"/>
      <c r="G67" s="11" t="n"/>
      <c r="H67" s="11" t="n"/>
    </row>
    <row r="68">
      <c r="B68" s="39" t="n"/>
      <c r="C68" s="27" t="n"/>
      <c r="D68" s="27" t="n"/>
      <c r="E68" s="27" t="n"/>
      <c r="F68" s="27" t="n"/>
      <c r="G68" s="27" t="n"/>
      <c r="H68" s="27" t="n"/>
    </row>
    <row r="69">
      <c r="B69" s="40" t="n"/>
      <c r="C69" s="11" t="n"/>
      <c r="D69" s="11" t="n"/>
      <c r="E69" s="11" t="n"/>
      <c r="F69" s="11" t="n"/>
      <c r="G69" s="11" t="n"/>
      <c r="H69" s="11" t="n"/>
    </row>
    <row r="70">
      <c r="B70" s="39" t="n"/>
      <c r="C70" s="27" t="n"/>
      <c r="D70" s="27" t="n"/>
      <c r="E70" s="27" t="n"/>
      <c r="F70" s="27" t="n"/>
      <c r="G70" s="27" t="n"/>
      <c r="H70" s="27" t="n"/>
    </row>
    <row r="71">
      <c r="B71" s="40" t="n"/>
      <c r="C71" s="11" t="n"/>
      <c r="D71" s="11" t="n"/>
      <c r="E71" s="11" t="n"/>
      <c r="F71" s="11" t="n"/>
      <c r="G71" s="11" t="n"/>
      <c r="H71" s="11" t="n"/>
    </row>
    <row r="72">
      <c r="B72" s="39" t="n"/>
      <c r="C72" s="27" t="n"/>
      <c r="D72" s="27" t="n"/>
      <c r="E72" s="27" t="n"/>
      <c r="F72" s="27" t="n"/>
      <c r="G72" s="27" t="n"/>
      <c r="H72" s="27" t="n"/>
    </row>
    <row r="73">
      <c r="B73" s="40" t="n"/>
      <c r="C73" s="11" t="n"/>
      <c r="D73" s="11" t="n"/>
      <c r="E73" s="11" t="n"/>
      <c r="F73" s="11" t="n"/>
      <c r="G73" s="11" t="n"/>
      <c r="H73" s="11" t="n"/>
    </row>
    <row r="74">
      <c r="B74" s="39" t="n"/>
      <c r="C74" s="27" t="n"/>
      <c r="D74" s="27" t="n"/>
      <c r="E74" s="27" t="n"/>
      <c r="F74" s="27" t="n"/>
      <c r="G74" s="27" t="n"/>
      <c r="H74" s="27" t="n"/>
    </row>
    <row r="75">
      <c r="B75" s="40" t="n"/>
      <c r="C75" s="11" t="n"/>
      <c r="D75" s="11" t="n"/>
      <c r="E75" s="11" t="n"/>
      <c r="F75" s="11" t="n"/>
      <c r="G75" s="11" t="n"/>
      <c r="H75" s="11" t="n"/>
    </row>
    <row r="76">
      <c r="B76" s="39" t="n"/>
      <c r="C76" s="27" t="n"/>
      <c r="D76" s="27" t="n"/>
      <c r="E76" s="27" t="n"/>
      <c r="F76" s="27" t="n"/>
      <c r="G76" s="27" t="n"/>
      <c r="H76" s="27" t="n"/>
    </row>
    <row r="77">
      <c r="B77" s="40" t="n"/>
      <c r="C77" s="11" t="n"/>
      <c r="D77" s="11" t="n"/>
      <c r="E77" s="11" t="n"/>
      <c r="F77" s="11" t="n"/>
      <c r="G77" s="11" t="n"/>
      <c r="H77" s="11" t="n"/>
    </row>
    <row r="78">
      <c r="B78" s="39" t="n"/>
      <c r="C78" s="27" t="n"/>
      <c r="D78" s="27" t="n"/>
      <c r="E78" s="27" t="n"/>
      <c r="F78" s="27" t="n"/>
      <c r="G78" s="27" t="n"/>
      <c r="H78" s="27" t="n"/>
    </row>
    <row r="79">
      <c r="B79" s="40" t="n"/>
      <c r="C79" s="11" t="n"/>
      <c r="D79" s="11" t="n"/>
      <c r="E79" s="11" t="n"/>
      <c r="F79" s="11" t="n"/>
      <c r="G79" s="11" t="n"/>
      <c r="H79" s="11" t="n"/>
    </row>
    <row r="80">
      <c r="B80" s="39" t="n"/>
      <c r="C80" s="27" t="n"/>
      <c r="D80" s="27" t="n"/>
      <c r="E80" s="27" t="n"/>
      <c r="F80" s="27" t="n"/>
      <c r="G80" s="27" t="n"/>
      <c r="H80" s="27" t="n"/>
    </row>
    <row r="81">
      <c r="B81" s="40" t="n"/>
      <c r="C81" s="11" t="n"/>
      <c r="D81" s="11" t="n"/>
      <c r="E81" s="11" t="n"/>
      <c r="F81" s="11" t="n"/>
      <c r="G81" s="11" t="n"/>
      <c r="H81" s="11" t="n"/>
    </row>
    <row r="82">
      <c r="B82" s="39" t="n"/>
      <c r="C82" s="27" t="n"/>
      <c r="D82" s="27" t="n"/>
      <c r="E82" s="27" t="n"/>
      <c r="F82" s="27" t="n"/>
      <c r="G82" s="27" t="n"/>
      <c r="H82" s="27" t="n"/>
    </row>
    <row r="83">
      <c r="B83" s="40" t="n"/>
      <c r="C83" s="11" t="n"/>
      <c r="D83" s="11" t="n"/>
      <c r="E83" s="11" t="n"/>
      <c r="F83" s="11" t="n"/>
      <c r="G83" s="11" t="n"/>
      <c r="H83" s="11" t="n"/>
    </row>
    <row r="84">
      <c r="B84" s="39" t="n"/>
      <c r="C84" s="27" t="n"/>
      <c r="D84" s="27" t="n"/>
      <c r="E84" s="27" t="n"/>
      <c r="F84" s="27" t="n"/>
      <c r="G84" s="27" t="n"/>
      <c r="H84" s="27" t="n"/>
    </row>
    <row r="85">
      <c r="B85" s="40" t="n"/>
      <c r="C85" s="11" t="n"/>
      <c r="D85" s="11" t="n"/>
      <c r="E85" s="11" t="n"/>
      <c r="F85" s="11" t="n"/>
      <c r="G85" s="11" t="n"/>
      <c r="H85" s="11" t="n"/>
    </row>
    <row r="86">
      <c r="B86" s="39" t="n"/>
      <c r="C86" s="27" t="n"/>
      <c r="D86" s="27" t="n"/>
      <c r="E86" s="27" t="n"/>
      <c r="F86" s="27" t="n"/>
      <c r="G86" s="27" t="n"/>
      <c r="H86" s="27" t="n"/>
    </row>
    <row r="87">
      <c r="B87" s="40" t="n"/>
      <c r="C87" s="11" t="n"/>
      <c r="D87" s="11" t="n"/>
      <c r="E87" s="11" t="n"/>
      <c r="F87" s="11" t="n"/>
      <c r="G87" s="11" t="n"/>
      <c r="H87" s="11" t="n"/>
    </row>
    <row r="88">
      <c r="B88" s="39" t="n"/>
      <c r="C88" s="27" t="n"/>
      <c r="D88" s="27" t="n"/>
      <c r="E88" s="27" t="n"/>
      <c r="F88" s="27" t="n"/>
      <c r="G88" s="27" t="n"/>
      <c r="H88" s="27" t="n"/>
    </row>
    <row r="89">
      <c r="B89" s="40" t="n"/>
      <c r="C89" s="11" t="n"/>
      <c r="D89" s="11" t="n"/>
      <c r="E89" s="11" t="n"/>
      <c r="F89" s="11" t="n"/>
      <c r="G89" s="11" t="n"/>
      <c r="H89" s="11" t="n"/>
    </row>
    <row r="90">
      <c r="B90" s="39" t="n"/>
      <c r="C90" s="27" t="n"/>
      <c r="D90" s="27" t="n"/>
      <c r="E90" s="27" t="n"/>
      <c r="F90" s="27" t="n"/>
      <c r="G90" s="27" t="n"/>
      <c r="H90" s="27" t="n"/>
    </row>
    <row r="91">
      <c r="B91" s="40" t="n"/>
      <c r="C91" s="11" t="n"/>
      <c r="D91" s="11" t="n"/>
      <c r="E91" s="11" t="n"/>
      <c r="F91" s="11" t="n"/>
      <c r="G91" s="11" t="n"/>
      <c r="H91" s="11" t="n"/>
    </row>
    <row r="92">
      <c r="B92" s="39" t="n"/>
      <c r="C92" s="27" t="n"/>
      <c r="D92" s="27" t="n"/>
      <c r="E92" s="27" t="n"/>
      <c r="F92" s="27" t="n"/>
      <c r="G92" s="27" t="n"/>
      <c r="H92" s="27" t="n"/>
    </row>
    <row r="93">
      <c r="B93" s="40" t="n"/>
      <c r="C93" s="11" t="n"/>
      <c r="D93" s="11" t="n"/>
      <c r="E93" s="11" t="n"/>
      <c r="F93" s="11" t="n"/>
      <c r="G93" s="11" t="n"/>
      <c r="H93" s="11" t="n"/>
    </row>
    <row r="94">
      <c r="B94" s="39" t="n"/>
      <c r="C94" s="27" t="n"/>
      <c r="D94" s="27" t="n"/>
      <c r="E94" s="27" t="n"/>
      <c r="F94" s="27" t="n"/>
      <c r="G94" s="27" t="n"/>
      <c r="H94" s="27" t="n"/>
    </row>
    <row r="95">
      <c r="B95" s="40" t="n"/>
      <c r="C95" s="11" t="n"/>
      <c r="D95" s="11" t="n"/>
      <c r="E95" s="11" t="n"/>
      <c r="F95" s="11" t="n"/>
      <c r="G95" s="11" t="n"/>
      <c r="H95" s="11" t="n"/>
    </row>
    <row r="96">
      <c r="B96" s="39" t="n"/>
      <c r="C96" s="27" t="n"/>
      <c r="D96" s="27" t="n"/>
      <c r="E96" s="27" t="n"/>
      <c r="F96" s="27" t="n"/>
      <c r="G96" s="27" t="n"/>
      <c r="H96" s="27" t="n"/>
    </row>
    <row r="97">
      <c r="B97" s="40" t="n"/>
      <c r="C97" s="11" t="n"/>
      <c r="D97" s="11" t="n"/>
      <c r="E97" s="11" t="n"/>
      <c r="F97" s="11" t="n"/>
      <c r="G97" s="11" t="n"/>
      <c r="H97" s="11" t="n"/>
    </row>
    <row r="98">
      <c r="B98" s="39" t="n"/>
      <c r="C98" s="27" t="n"/>
      <c r="D98" s="27" t="n"/>
      <c r="E98" s="27" t="n"/>
      <c r="F98" s="27" t="n"/>
      <c r="G98" s="27" t="n"/>
      <c r="H98" s="27" t="n"/>
    </row>
    <row r="99">
      <c r="B99" s="40" t="n"/>
      <c r="C99" s="11" t="n"/>
      <c r="D99" s="11" t="n"/>
      <c r="E99" s="11" t="n"/>
      <c r="F99" s="11" t="n"/>
      <c r="G99" s="11" t="n"/>
      <c r="H99" s="11" t="n"/>
    </row>
    <row r="100">
      <c r="B100" s="39" t="n"/>
      <c r="C100" s="27" t="n"/>
      <c r="D100" s="27" t="n"/>
      <c r="E100" s="27" t="n"/>
      <c r="F100" s="27" t="n"/>
      <c r="G100" s="27" t="n"/>
      <c r="H100" s="27" t="n"/>
    </row>
    <row r="101">
      <c r="B101" s="40" t="n"/>
      <c r="C101" s="11" t="n"/>
      <c r="D101" s="11" t="n"/>
      <c r="E101" s="11" t="n"/>
      <c r="F101" s="11" t="n"/>
      <c r="G101" s="11" t="n"/>
      <c r="H101" s="11" t="n"/>
    </row>
    <row r="102">
      <c r="B102" s="39" t="n"/>
      <c r="C102" s="27" t="n"/>
      <c r="D102" s="27" t="n"/>
      <c r="E102" s="27" t="n"/>
      <c r="F102" s="27" t="n"/>
      <c r="G102" s="27" t="n"/>
      <c r="H102" s="27" t="n"/>
    </row>
    <row r="103">
      <c r="B103" s="40" t="n"/>
      <c r="C103" s="11" t="n"/>
      <c r="D103" s="11" t="n"/>
      <c r="E103" s="11" t="n"/>
      <c r="F103" s="11" t="n"/>
      <c r="G103" s="11" t="n"/>
      <c r="H103" s="11" t="n"/>
    </row>
    <row r="104">
      <c r="B104" s="39" t="n"/>
      <c r="C104" s="27" t="n"/>
      <c r="D104" s="27" t="n"/>
      <c r="E104" s="27" t="n"/>
      <c r="F104" s="27" t="n"/>
      <c r="G104" s="27" t="n"/>
      <c r="H104" s="27" t="n"/>
    </row>
    <row r="105">
      <c r="B105" s="40" t="n"/>
      <c r="C105" s="11" t="n"/>
      <c r="D105" s="11" t="n"/>
      <c r="E105" s="11" t="n"/>
      <c r="F105" s="11" t="n"/>
      <c r="G105" s="11" t="n"/>
      <c r="H105" s="11" t="n"/>
    </row>
  </sheetData>
  <mergeCells count="11">
    <mergeCell ref="J16:L16"/>
    <mergeCell ref="J11:K11"/>
    <mergeCell ref="J12:K12"/>
    <mergeCell ref="J6:K6"/>
    <mergeCell ref="J13:K13"/>
    <mergeCell ref="J14:K14"/>
    <mergeCell ref="J7:K7"/>
    <mergeCell ref="J10:K10"/>
    <mergeCell ref="B3:H3"/>
    <mergeCell ref="J8:K8"/>
    <mergeCell ref="J9:K9"/>
  </mergeCells>
  <dataValidations count="3">
    <dataValidation sqref="E6:E105" showDropDown="0" showInputMessage="0" showErrorMessage="0" allowBlank="1" type="list">
      <formula1>"Preco,PIX / recorrencia,Ja uso concorrente,Agora nao / sem tempo,Confianca (fundador solo),Falta feature,Precisa falar com socio,Outro"</formula1>
    </dataValidation>
    <dataValidation sqref="G6:G105" showDropDown="0" showInputMessage="0" showErrorMessage="0" allowBlank="1" type="list">
      <formula1>"Sim,Nao,Em parte"</formula1>
    </dataValidation>
    <dataValidation sqref="H6:H105" showDropDown="0" showInputMessage="0" showErrorMessage="0" allowBlank="1" type="list">
      <formula1>"Sim,Nao,Ainda nao"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2026-08-06T19:12:21Z</dcterms:created>
  <dcterms:modified xsi:type="dcterms:W3CDTF">2026-09-02T12:57:17Z</dcterms:modified>
</cp:coreProperties>
</file>